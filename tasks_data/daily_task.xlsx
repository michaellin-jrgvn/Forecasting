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8800" windowHeight="12435" firstSheet="3" activeTab="3"/>
  </bookViews>
  <sheets>
    <sheet name="Times City" sheetId="16" state="hidden" r:id="rId1"/>
    <sheet name="Savico" sheetId="15" state="hidden" r:id="rId2"/>
    <sheet name="Pico" sheetId="14" state="hidden" r:id="rId3"/>
    <sheet name="Routine task" sheetId="44" r:id="rId4"/>
    <sheet name="Daily task" sheetId="42" r:id="rId5"/>
    <sheet name="Base Line COL" sheetId="28" r:id="rId6"/>
    <sheet name="Prep Plan" sheetId="43" r:id="rId7"/>
  </sheets>
  <definedNames>
    <definedName name="_xlnm._FilterDatabase" localSheetId="5" hidden="1">'Base Line COL'!#REF!</definedName>
    <definedName name="_xlnm._FilterDatabase" localSheetId="4" hidden="1">'Daily task'!$A$6:$BO$6</definedName>
    <definedName name="_xlnm._FilterDatabase" localSheetId="2" hidden="1">Pico!#REF!</definedName>
    <definedName name="_xlnm._FilterDatabase" localSheetId="3" hidden="1">'Routine task'!$A$1:$BA$1</definedName>
    <definedName name="_xlnm._FilterDatabase" localSheetId="1" hidden="1">Savico!#REF!</definedName>
    <definedName name="_xlnm._FilterDatabase" localSheetId="0" hidden="1">'Times City'!#REF!</definedName>
    <definedName name="_xlnm.Print_Area" localSheetId="5">'Base Line COL'!#REF!</definedName>
    <definedName name="_xlnm.Print_Area" localSheetId="2">Pico!$A$1:$AI$18</definedName>
    <definedName name="_xlnm.Print_Area" localSheetId="1">Savico!$A$1:$AI$41</definedName>
    <definedName name="_xlnm.Print_Area" localSheetId="0">'Times City'!$A$1:$AA$42</definedName>
  </definedNames>
  <calcPr calcId="152511"/>
</workbook>
</file>

<file path=xl/calcChain.xml><?xml version="1.0" encoding="utf-8"?>
<calcChain xmlns="http://schemas.openxmlformats.org/spreadsheetml/2006/main">
  <c r="L9" i="44" l="1"/>
  <c r="L10" i="44"/>
  <c r="L11" i="44"/>
  <c r="L12" i="44"/>
  <c r="L13" i="44"/>
  <c r="L14" i="44"/>
  <c r="L15" i="44"/>
  <c r="L16" i="44"/>
  <c r="L17" i="44"/>
  <c r="L18" i="44"/>
  <c r="L19" i="44"/>
  <c r="L20" i="44"/>
  <c r="L21" i="44"/>
  <c r="L22" i="44"/>
  <c r="L23" i="44"/>
  <c r="L24" i="44"/>
  <c r="L25" i="44"/>
  <c r="L26" i="44"/>
  <c r="L27" i="44"/>
  <c r="L28" i="44"/>
  <c r="L29" i="44"/>
  <c r="L30" i="44"/>
  <c r="L31" i="44"/>
  <c r="L32" i="44"/>
  <c r="L33" i="44"/>
  <c r="L34" i="44"/>
  <c r="L35" i="44"/>
  <c r="L36" i="44"/>
  <c r="L37" i="44"/>
  <c r="L38" i="44"/>
  <c r="L39" i="44"/>
  <c r="L40" i="44"/>
  <c r="L41" i="44"/>
  <c r="L42" i="44"/>
  <c r="L43" i="44"/>
  <c r="L44" i="44"/>
  <c r="L45" i="44"/>
  <c r="L46" i="44"/>
  <c r="L47" i="44"/>
  <c r="L48" i="44"/>
  <c r="L49" i="44"/>
  <c r="L50" i="44"/>
  <c r="L51" i="44"/>
  <c r="L52" i="44"/>
  <c r="L53" i="44"/>
  <c r="L54" i="44"/>
  <c r="L55" i="44"/>
  <c r="L56" i="44"/>
  <c r="L57" i="44"/>
  <c r="L58" i="44"/>
  <c r="L59" i="44"/>
  <c r="L60" i="44"/>
  <c r="L61" i="44"/>
  <c r="L62" i="44"/>
  <c r="L63" i="44"/>
  <c r="L4" i="44"/>
  <c r="L8" i="44"/>
  <c r="L7" i="44"/>
  <c r="L6" i="44"/>
  <c r="L5" i="44"/>
  <c r="L3" i="44"/>
  <c r="M6" i="44"/>
  <c r="M7" i="44"/>
  <c r="M17" i="44"/>
  <c r="M18" i="44"/>
  <c r="M19" i="44"/>
  <c r="M28" i="44"/>
  <c r="M29" i="44"/>
  <c r="M32" i="44"/>
  <c r="M42" i="44"/>
  <c r="M43" i="44"/>
  <c r="M53" i="44"/>
  <c r="M54" i="44"/>
  <c r="M55" i="44"/>
  <c r="M59" i="44"/>
  <c r="P1" i="44"/>
  <c r="Q1" i="44" s="1"/>
  <c r="R1" i="44" s="1"/>
  <c r="S1" i="44" s="1"/>
  <c r="T1" i="44" s="1"/>
  <c r="U1" i="44" s="1"/>
  <c r="V1" i="44" s="1"/>
  <c r="W1" i="44" s="1"/>
  <c r="X1" i="44" s="1"/>
  <c r="Y1" i="44" s="1"/>
  <c r="Z1" i="44" s="1"/>
  <c r="AA1" i="44" s="1"/>
  <c r="AB1" i="44" s="1"/>
  <c r="AC1" i="44" s="1"/>
  <c r="AD1" i="44" s="1"/>
  <c r="AE1" i="44" s="1"/>
  <c r="AF1" i="44" s="1"/>
  <c r="AG1" i="44" s="1"/>
  <c r="AH1" i="44" s="1"/>
  <c r="AI1" i="44" s="1"/>
  <c r="AJ1" i="44" s="1"/>
  <c r="AK1" i="44" s="1"/>
  <c r="AL1" i="44" s="1"/>
  <c r="AM1" i="44" s="1"/>
  <c r="AN1" i="44" s="1"/>
  <c r="AO1" i="44" s="1"/>
  <c r="AP1" i="44" s="1"/>
  <c r="AQ1" i="44" s="1"/>
  <c r="AR1" i="44" s="1"/>
  <c r="AS1" i="44" s="1"/>
  <c r="AT1" i="44" s="1"/>
  <c r="AU1" i="44" s="1"/>
  <c r="AV1" i="44" s="1"/>
  <c r="AW1" i="44" s="1"/>
  <c r="AX1" i="44" s="1"/>
  <c r="AY1" i="44" s="1"/>
  <c r="BB2" i="44"/>
  <c r="M2" i="44" s="1"/>
  <c r="BC2" i="44"/>
  <c r="BB3" i="44"/>
  <c r="BC3" i="44" s="1"/>
  <c r="BB4" i="44"/>
  <c r="M4" i="44" s="1"/>
  <c r="BC4" i="44"/>
  <c r="BB5" i="44"/>
  <c r="BC5" i="44" s="1"/>
  <c r="BB6" i="44"/>
  <c r="BC6" i="44" s="1"/>
  <c r="BB7" i="44"/>
  <c r="BC7" i="44" s="1"/>
  <c r="BB8" i="44"/>
  <c r="M8" i="44" s="1"/>
  <c r="BB9" i="44"/>
  <c r="BC9" i="44" s="1"/>
  <c r="BB10" i="44"/>
  <c r="BC10" i="44" s="1"/>
  <c r="BB11" i="44"/>
  <c r="BC11" i="44" s="1"/>
  <c r="BB12" i="44"/>
  <c r="M12" i="44" s="1"/>
  <c r="BB13" i="44"/>
  <c r="BC13" i="44" s="1"/>
  <c r="BB14" i="44"/>
  <c r="BC14" i="44" s="1"/>
  <c r="BB15" i="44"/>
  <c r="BC15" i="44" s="1"/>
  <c r="BB16" i="44"/>
  <c r="BC16" i="44" s="1"/>
  <c r="BB17" i="44"/>
  <c r="BC17" i="44" s="1"/>
  <c r="BB18" i="44"/>
  <c r="BC18" i="44" s="1"/>
  <c r="BB19" i="44"/>
  <c r="BC19" i="44" s="1"/>
  <c r="BB20" i="44"/>
  <c r="M20" i="44" s="1"/>
  <c r="BB21" i="44"/>
  <c r="BC21" i="44" s="1"/>
  <c r="BB22" i="44"/>
  <c r="M22" i="44" s="1"/>
  <c r="BB23" i="44"/>
  <c r="BC23" i="44" s="1"/>
  <c r="BB24" i="44"/>
  <c r="M24" i="44" s="1"/>
  <c r="BB25" i="44"/>
  <c r="BC25" i="44" s="1"/>
  <c r="BB26" i="44"/>
  <c r="BC26" i="44" s="1"/>
  <c r="BB27" i="44"/>
  <c r="BC27" i="44" s="1"/>
  <c r="BB28" i="44"/>
  <c r="BC28" i="44" s="1"/>
  <c r="BB29" i="44"/>
  <c r="BC29" i="44" s="1"/>
  <c r="BB30" i="44"/>
  <c r="BC30" i="44" s="1"/>
  <c r="BB31" i="44"/>
  <c r="BC31" i="44" s="1"/>
  <c r="BB32" i="44"/>
  <c r="BC32" i="44"/>
  <c r="BB33" i="44"/>
  <c r="BC33" i="44" s="1"/>
  <c r="BB34" i="44"/>
  <c r="M34" i="44" s="1"/>
  <c r="BB35" i="44"/>
  <c r="BC35" i="44" s="1"/>
  <c r="BB36" i="44"/>
  <c r="M36" i="44" s="1"/>
  <c r="BB37" i="44"/>
  <c r="BC37" i="44" s="1"/>
  <c r="BB38" i="44"/>
  <c r="M38" i="44" s="1"/>
  <c r="BB39" i="44"/>
  <c r="BC39" i="44" s="1"/>
  <c r="BB40" i="44"/>
  <c r="M40" i="44" s="1"/>
  <c r="BB41" i="44"/>
  <c r="BC41" i="44" s="1"/>
  <c r="BB42" i="44"/>
  <c r="BC42" i="44" s="1"/>
  <c r="BB43" i="44"/>
  <c r="BC43" i="44" s="1"/>
  <c r="BB44" i="44"/>
  <c r="BC44" i="44" s="1"/>
  <c r="BB45" i="44"/>
  <c r="BC45" i="44" s="1"/>
  <c r="BB46" i="44"/>
  <c r="BC46" i="44" s="1"/>
  <c r="BB47" i="44"/>
  <c r="BC47" i="44" s="1"/>
  <c r="BB48" i="44"/>
  <c r="M48" i="44" s="1"/>
  <c r="BB49" i="44"/>
  <c r="BC49" i="44" s="1"/>
  <c r="BB50" i="44"/>
  <c r="BC50" i="44" s="1"/>
  <c r="BB51" i="44"/>
  <c r="BC51" i="44" s="1"/>
  <c r="BB52" i="44"/>
  <c r="M52" i="44" s="1"/>
  <c r="BB53" i="44"/>
  <c r="BC53" i="44" s="1"/>
  <c r="BB54" i="44"/>
  <c r="BC54" i="44" s="1"/>
  <c r="BB55" i="44"/>
  <c r="BC55" i="44" s="1"/>
  <c r="BB56" i="44"/>
  <c r="BC56" i="44" s="1"/>
  <c r="BB57" i="44"/>
  <c r="BC57" i="44" s="1"/>
  <c r="BB58" i="44"/>
  <c r="BC58" i="44" s="1"/>
  <c r="BB59" i="44"/>
  <c r="BC59" i="44" s="1"/>
  <c r="BB60" i="44"/>
  <c r="M60" i="44" s="1"/>
  <c r="BB61" i="44"/>
  <c r="BC61" i="44" s="1"/>
  <c r="BB62" i="44"/>
  <c r="BC62" i="44" s="1"/>
  <c r="BB63" i="44"/>
  <c r="BC63" i="44" s="1"/>
  <c r="I64" i="43"/>
  <c r="H52" i="43"/>
  <c r="H51" i="43"/>
  <c r="H50" i="43"/>
  <c r="H49" i="43"/>
  <c r="H48" i="43"/>
  <c r="H47" i="43"/>
  <c r="H46" i="43"/>
  <c r="H45" i="43"/>
  <c r="H44" i="43"/>
  <c r="AM43" i="43"/>
  <c r="AH43" i="43"/>
  <c r="AC43" i="43"/>
  <c r="X43" i="43"/>
  <c r="S43" i="43"/>
  <c r="H43" i="43"/>
  <c r="H41" i="43"/>
  <c r="H40" i="43"/>
  <c r="H39" i="43"/>
  <c r="H38" i="43"/>
  <c r="AM37" i="43"/>
  <c r="AH37" i="43"/>
  <c r="AC37" i="43"/>
  <c r="X37" i="43"/>
  <c r="S37" i="43"/>
  <c r="H37" i="43"/>
  <c r="AM36" i="43"/>
  <c r="AH36" i="43"/>
  <c r="AC36" i="43"/>
  <c r="X36" i="43"/>
  <c r="S36" i="43"/>
  <c r="H36" i="43"/>
  <c r="AM35" i="43"/>
  <c r="AH35" i="43"/>
  <c r="AC35" i="43"/>
  <c r="X35" i="43"/>
  <c r="S35" i="43"/>
  <c r="H35" i="43"/>
  <c r="AM34" i="43"/>
  <c r="AH34" i="43"/>
  <c r="AC34" i="43"/>
  <c r="X34" i="43"/>
  <c r="S34" i="43"/>
  <c r="N34" i="43"/>
  <c r="AM33" i="43"/>
  <c r="AH33" i="43"/>
  <c r="AC33" i="43"/>
  <c r="X33" i="43"/>
  <c r="S33" i="43"/>
  <c r="N33" i="43"/>
  <c r="H33" i="43"/>
  <c r="AM32" i="43"/>
  <c r="AH32" i="43"/>
  <c r="AC32" i="43"/>
  <c r="X32" i="43"/>
  <c r="S32" i="43"/>
  <c r="N32" i="43"/>
  <c r="H32" i="43"/>
  <c r="AM31" i="43"/>
  <c r="AH31" i="43"/>
  <c r="AC31" i="43"/>
  <c r="X31" i="43"/>
  <c r="S31" i="43"/>
  <c r="N31" i="43"/>
  <c r="H31" i="43"/>
  <c r="AM30" i="43"/>
  <c r="AH30" i="43"/>
  <c r="AC30" i="43"/>
  <c r="X30" i="43"/>
  <c r="S30" i="43"/>
  <c r="N30" i="43"/>
  <c r="H30" i="43"/>
  <c r="AM29" i="43"/>
  <c r="AH29" i="43"/>
  <c r="AC29" i="43"/>
  <c r="X29" i="43"/>
  <c r="S29" i="43"/>
  <c r="N29" i="43"/>
  <c r="H29" i="43"/>
  <c r="AM28" i="43"/>
  <c r="AH28" i="43"/>
  <c r="AC28" i="43"/>
  <c r="X28" i="43"/>
  <c r="S28" i="43"/>
  <c r="N28" i="43"/>
  <c r="H28" i="43"/>
  <c r="AM27" i="43"/>
  <c r="AH27" i="43"/>
  <c r="AC27" i="43"/>
  <c r="X27" i="43"/>
  <c r="S27" i="43"/>
  <c r="N27" i="43"/>
  <c r="H27" i="43"/>
  <c r="AM26" i="43"/>
  <c r="AH26" i="43"/>
  <c r="AC26" i="43"/>
  <c r="X26" i="43"/>
  <c r="S26" i="43"/>
  <c r="N26" i="43"/>
  <c r="H26" i="43"/>
  <c r="AM25" i="43"/>
  <c r="AH25" i="43"/>
  <c r="AC25" i="43"/>
  <c r="X25" i="43"/>
  <c r="S25" i="43"/>
  <c r="N25" i="43"/>
  <c r="H25" i="43"/>
  <c r="AM24" i="43"/>
  <c r="AH24" i="43"/>
  <c r="AC24" i="43"/>
  <c r="X24" i="43"/>
  <c r="S24" i="43"/>
  <c r="N24" i="43"/>
  <c r="H24" i="43"/>
  <c r="AM23" i="43"/>
  <c r="AH23" i="43"/>
  <c r="AC23" i="43"/>
  <c r="X23" i="43"/>
  <c r="S23" i="43"/>
  <c r="N23" i="43"/>
  <c r="H23" i="43"/>
  <c r="AM22" i="43"/>
  <c r="AH22" i="43"/>
  <c r="AC22" i="43"/>
  <c r="X22" i="43"/>
  <c r="S22" i="43"/>
  <c r="N22" i="43"/>
  <c r="AM21" i="43"/>
  <c r="AH21" i="43"/>
  <c r="AC21" i="43"/>
  <c r="X21" i="43"/>
  <c r="S21" i="43"/>
  <c r="N21" i="43"/>
  <c r="H21" i="43"/>
  <c r="AM20" i="43"/>
  <c r="AH20" i="43"/>
  <c r="AC20" i="43"/>
  <c r="X20" i="43"/>
  <c r="S20" i="43"/>
  <c r="N20" i="43"/>
  <c r="H20" i="43"/>
  <c r="AM19" i="43"/>
  <c r="AH19" i="43"/>
  <c r="AC19" i="43"/>
  <c r="X19" i="43"/>
  <c r="S19" i="43"/>
  <c r="N19" i="43"/>
  <c r="H19" i="43"/>
  <c r="AM18" i="43"/>
  <c r="AH18" i="43"/>
  <c r="AC18" i="43"/>
  <c r="X18" i="43"/>
  <c r="S18" i="43"/>
  <c r="N18" i="43"/>
  <c r="H18" i="43"/>
  <c r="AM17" i="43"/>
  <c r="AH17" i="43"/>
  <c r="AC17" i="43"/>
  <c r="X17" i="43"/>
  <c r="S17" i="43"/>
  <c r="N17" i="43"/>
  <c r="H17" i="43"/>
  <c r="AM16" i="43"/>
  <c r="AH16" i="43"/>
  <c r="AC16" i="43"/>
  <c r="X16" i="43"/>
  <c r="S16" i="43"/>
  <c r="N16" i="43"/>
  <c r="H16" i="43"/>
  <c r="AM15" i="43"/>
  <c r="AH15" i="43"/>
  <c r="AC15" i="43"/>
  <c r="X15" i="43"/>
  <c r="S15" i="43"/>
  <c r="N15" i="43"/>
  <c r="AM13" i="43"/>
  <c r="AH13" i="43"/>
  <c r="AC13" i="43"/>
  <c r="X13" i="43"/>
  <c r="S13" i="43"/>
  <c r="N13" i="43"/>
  <c r="AM12" i="43"/>
  <c r="AH12" i="43"/>
  <c r="AC12" i="43"/>
  <c r="X12" i="43"/>
  <c r="S12" i="43"/>
  <c r="N12" i="43"/>
  <c r="AM11" i="43"/>
  <c r="AH11" i="43"/>
  <c r="AC11" i="43"/>
  <c r="X11" i="43"/>
  <c r="S11" i="43"/>
  <c r="N11" i="43"/>
  <c r="AM10" i="43"/>
  <c r="AH10" i="43"/>
  <c r="AC10" i="43"/>
  <c r="X10" i="43"/>
  <c r="S10" i="43"/>
  <c r="N10" i="43"/>
  <c r="AM9" i="43"/>
  <c r="AH9" i="43"/>
  <c r="AC9" i="43"/>
  <c r="X9" i="43"/>
  <c r="S9" i="43"/>
  <c r="N9" i="43"/>
  <c r="AM8" i="43"/>
  <c r="AH8" i="43"/>
  <c r="AC8" i="43"/>
  <c r="X8" i="43"/>
  <c r="S8" i="43"/>
  <c r="N8" i="43"/>
  <c r="AM7" i="43"/>
  <c r="AH7" i="43"/>
  <c r="AC7" i="43"/>
  <c r="X7" i="43"/>
  <c r="S7" i="43"/>
  <c r="N7" i="43"/>
  <c r="AM6" i="43"/>
  <c r="AH6" i="43"/>
  <c r="AC6" i="43"/>
  <c r="X6" i="43"/>
  <c r="S6" i="43"/>
  <c r="N6" i="43"/>
  <c r="I4" i="42"/>
  <c r="AQ15" i="28"/>
  <c r="AQ7" i="28"/>
  <c r="AR3" i="28"/>
  <c r="AR17" i="28"/>
  <c r="X27" i="28"/>
  <c r="X6" i="28"/>
  <c r="AP33" i="28"/>
  <c r="AP29" i="28"/>
  <c r="AJ33" i="28"/>
  <c r="AJ31" i="28"/>
  <c r="AP15" i="28"/>
  <c r="AP7" i="28"/>
  <c r="AJ29" i="28"/>
  <c r="AJ15" i="28"/>
  <c r="AJ14" i="28"/>
  <c r="AJ12" i="28"/>
  <c r="AJ21" i="28"/>
  <c r="AD28" i="28"/>
  <c r="AD21" i="28"/>
  <c r="AD14" i="28"/>
  <c r="X28" i="28"/>
  <c r="X20" i="28"/>
  <c r="X13" i="28"/>
  <c r="R27" i="28"/>
  <c r="R20" i="28"/>
  <c r="R13" i="28"/>
  <c r="X10" i="28"/>
  <c r="AJ7" i="28"/>
  <c r="AD7" i="28"/>
  <c r="AD6" i="28"/>
  <c r="R6" i="28"/>
  <c r="O6" i="28"/>
  <c r="AB3" i="28"/>
  <c r="AB11" i="28"/>
  <c r="BM69" i="42"/>
  <c r="BN69" i="42"/>
  <c r="BO69" i="42"/>
  <c r="L3" i="42"/>
  <c r="M3" i="42"/>
  <c r="L4" i="42"/>
  <c r="M4" i="42"/>
  <c r="L2" i="42"/>
  <c r="M2" i="42"/>
  <c r="BL66" i="42"/>
  <c r="BL68" i="42"/>
  <c r="BM66" i="42"/>
  <c r="BM68" i="42"/>
  <c r="BN66" i="42"/>
  <c r="BO66" i="42"/>
  <c r="BK66" i="42"/>
  <c r="BP7" i="42"/>
  <c r="BQ7" i="42"/>
  <c r="BP35" i="42"/>
  <c r="BQ35" i="42"/>
  <c r="BP58" i="42"/>
  <c r="BQ58" i="42"/>
  <c r="BP52" i="42"/>
  <c r="BQ52" i="42"/>
  <c r="BP51" i="42"/>
  <c r="BQ51" i="42"/>
  <c r="BP54" i="42"/>
  <c r="BQ54" i="42"/>
  <c r="BP53" i="42"/>
  <c r="BQ53" i="42"/>
  <c r="BP50" i="42"/>
  <c r="BQ50" i="42"/>
  <c r="BP49" i="42"/>
  <c r="BQ49" i="42"/>
  <c r="BP32" i="42"/>
  <c r="BQ32" i="42"/>
  <c r="BP8" i="42"/>
  <c r="BQ8" i="42"/>
  <c r="BP9" i="42"/>
  <c r="BQ9" i="42"/>
  <c r="BP10" i="42"/>
  <c r="BQ10" i="42"/>
  <c r="BP11" i="42"/>
  <c r="BQ11" i="42"/>
  <c r="BP12" i="42"/>
  <c r="BQ12" i="42"/>
  <c r="BP13" i="42"/>
  <c r="BQ13" i="42"/>
  <c r="BP14" i="42"/>
  <c r="BQ14" i="42"/>
  <c r="BP15" i="42"/>
  <c r="BQ15" i="42"/>
  <c r="BP16" i="42"/>
  <c r="BQ16" i="42"/>
  <c r="BP17" i="42"/>
  <c r="BQ17" i="42"/>
  <c r="BP18" i="42"/>
  <c r="BQ18" i="42"/>
  <c r="BP19" i="42"/>
  <c r="BQ19" i="42"/>
  <c r="BP20" i="42"/>
  <c r="BQ20" i="42"/>
  <c r="BP21" i="42"/>
  <c r="BQ21" i="42"/>
  <c r="BP22" i="42"/>
  <c r="BQ22" i="42"/>
  <c r="BP23" i="42"/>
  <c r="BQ23" i="42"/>
  <c r="BP24" i="42"/>
  <c r="BQ24" i="42"/>
  <c r="BP25" i="42"/>
  <c r="BQ25" i="42"/>
  <c r="BP26" i="42"/>
  <c r="BQ26" i="42"/>
  <c r="BP27" i="42"/>
  <c r="BQ27" i="42"/>
  <c r="BP28" i="42"/>
  <c r="BQ28" i="42"/>
  <c r="BP29" i="42"/>
  <c r="BQ29" i="42"/>
  <c r="BP30" i="42"/>
  <c r="BQ30" i="42"/>
  <c r="BP33" i="42"/>
  <c r="BQ33" i="42"/>
  <c r="BP34" i="42"/>
  <c r="BQ34" i="42"/>
  <c r="BP36" i="42"/>
  <c r="BQ36" i="42"/>
  <c r="BP37" i="42"/>
  <c r="BQ37" i="42"/>
  <c r="BP38" i="42"/>
  <c r="BQ38" i="42"/>
  <c r="BP39" i="42"/>
  <c r="BQ39" i="42"/>
  <c r="BP40" i="42"/>
  <c r="BQ40" i="42"/>
  <c r="BP41" i="42"/>
  <c r="BQ41" i="42"/>
  <c r="BP42" i="42"/>
  <c r="BQ42" i="42"/>
  <c r="BP43" i="42"/>
  <c r="BQ43" i="42"/>
  <c r="BP44" i="42"/>
  <c r="BQ44" i="42"/>
  <c r="BP45" i="42"/>
  <c r="BQ45" i="42"/>
  <c r="BP46" i="42"/>
  <c r="BQ46" i="42"/>
  <c r="BP47" i="42"/>
  <c r="BQ47" i="42"/>
  <c r="BP48" i="42"/>
  <c r="BQ48" i="42"/>
  <c r="BP55" i="42"/>
  <c r="BQ55" i="42"/>
  <c r="BP56" i="42"/>
  <c r="BQ56" i="42"/>
  <c r="BP57" i="42"/>
  <c r="BQ57" i="42"/>
  <c r="BP59" i="42"/>
  <c r="BQ59" i="42"/>
  <c r="BP60" i="42"/>
  <c r="BQ60" i="42"/>
  <c r="BP61" i="42"/>
  <c r="BQ61" i="42"/>
  <c r="BP62" i="42"/>
  <c r="BQ62" i="42"/>
  <c r="BP63" i="42"/>
  <c r="BQ63" i="42"/>
  <c r="BP64" i="42"/>
  <c r="BQ64" i="42"/>
  <c r="B16" i="28"/>
  <c r="AL66" i="42"/>
  <c r="AL68" i="42"/>
  <c r="BK68" i="42"/>
  <c r="BJ66" i="42"/>
  <c r="BJ68" i="42"/>
  <c r="BI66" i="42"/>
  <c r="BI68" i="42"/>
  <c r="BH66" i="42"/>
  <c r="BH68" i="42"/>
  <c r="BG66" i="42"/>
  <c r="BG68" i="42"/>
  <c r="BF66" i="42"/>
  <c r="BF68" i="42"/>
  <c r="BE66" i="42"/>
  <c r="BE68" i="42"/>
  <c r="BD66" i="42"/>
  <c r="BD68" i="42"/>
  <c r="BC66" i="42"/>
  <c r="BC68" i="42"/>
  <c r="BB66" i="42"/>
  <c r="BB68" i="42"/>
  <c r="BA66" i="42"/>
  <c r="BA68" i="42"/>
  <c r="AZ66" i="42"/>
  <c r="AZ68" i="42"/>
  <c r="AY66" i="42"/>
  <c r="AY68" i="42"/>
  <c r="AX66" i="42"/>
  <c r="AX68" i="42"/>
  <c r="AW66" i="42"/>
  <c r="AW68" i="42"/>
  <c r="AV66" i="42"/>
  <c r="AV68" i="42"/>
  <c r="AU66" i="42"/>
  <c r="AU68" i="42"/>
  <c r="AT66" i="42"/>
  <c r="AT68" i="42"/>
  <c r="AS66" i="42"/>
  <c r="AS68" i="42"/>
  <c r="AR66" i="42"/>
  <c r="AR68" i="42"/>
  <c r="AQ66" i="42"/>
  <c r="AQ68" i="42"/>
  <c r="AP66" i="42"/>
  <c r="AP68" i="42"/>
  <c r="AO66" i="42"/>
  <c r="AO68" i="42"/>
  <c r="AN66" i="42"/>
  <c r="AN68" i="42"/>
  <c r="AM66" i="42"/>
  <c r="AM68" i="42"/>
  <c r="AK66" i="42"/>
  <c r="AK68" i="42"/>
  <c r="AJ66" i="42"/>
  <c r="AJ68" i="42"/>
  <c r="AI66" i="42"/>
  <c r="AI68" i="42"/>
  <c r="AH66" i="42"/>
  <c r="AH68" i="42"/>
  <c r="AF66" i="42"/>
  <c r="AE66" i="42"/>
  <c r="AD66" i="42"/>
  <c r="AC66" i="42"/>
  <c r="AD6" i="42"/>
  <c r="AE6" i="42"/>
  <c r="AF6" i="42"/>
  <c r="AG6" i="42"/>
  <c r="AH6" i="42"/>
  <c r="AI6" i="42"/>
  <c r="AJ6" i="42"/>
  <c r="AK6" i="42"/>
  <c r="AL6" i="42"/>
  <c r="AM6" i="42"/>
  <c r="AN6" i="42"/>
  <c r="AO6" i="42"/>
  <c r="AP6" i="42"/>
  <c r="AQ6" i="42"/>
  <c r="AR6" i="42"/>
  <c r="AS6" i="42"/>
  <c r="AT6" i="42"/>
  <c r="AU6" i="42"/>
  <c r="AV6" i="42"/>
  <c r="AW6" i="42"/>
  <c r="AX6" i="42"/>
  <c r="AY6" i="42"/>
  <c r="AZ6" i="42"/>
  <c r="BA6" i="42"/>
  <c r="BB6" i="42"/>
  <c r="BC6" i="42"/>
  <c r="BD6" i="42"/>
  <c r="BE6" i="42"/>
  <c r="BF6" i="42"/>
  <c r="BG6" i="42"/>
  <c r="BH6" i="42"/>
  <c r="BI6" i="42"/>
  <c r="BJ6" i="42"/>
  <c r="BK6" i="42"/>
  <c r="BL6" i="42"/>
  <c r="BM6" i="42"/>
  <c r="C11" i="28"/>
  <c r="P26" i="28"/>
  <c r="O26" i="28"/>
  <c r="O25" i="28"/>
  <c r="O27" i="28"/>
  <c r="O28" i="28"/>
  <c r="O29" i="28"/>
  <c r="O30" i="28"/>
  <c r="O31" i="28"/>
  <c r="O32" i="28"/>
  <c r="O33" i="28"/>
  <c r="O34" i="28"/>
  <c r="O35" i="28"/>
  <c r="O36" i="28"/>
  <c r="AT14" i="28"/>
  <c r="W15" i="28"/>
  <c r="T36" i="28"/>
  <c r="S36" i="28"/>
  <c r="R36" i="28"/>
  <c r="Q36" i="28"/>
  <c r="P36" i="28"/>
  <c r="N36" i="28"/>
  <c r="M36" i="28"/>
  <c r="T35" i="28"/>
  <c r="S35" i="28"/>
  <c r="R35" i="28"/>
  <c r="Q35" i="28"/>
  <c r="P35" i="28"/>
  <c r="N35" i="28"/>
  <c r="M35" i="28"/>
  <c r="T34" i="28"/>
  <c r="S34" i="28"/>
  <c r="R34" i="28"/>
  <c r="Q34" i="28"/>
  <c r="P34" i="28"/>
  <c r="N34" i="28"/>
  <c r="M34" i="28"/>
  <c r="T33" i="28"/>
  <c r="S33" i="28"/>
  <c r="R33" i="28"/>
  <c r="Q33" i="28"/>
  <c r="P33" i="28"/>
  <c r="N33" i="28"/>
  <c r="M33" i="28"/>
  <c r="T32" i="28"/>
  <c r="S32" i="28"/>
  <c r="R32" i="28"/>
  <c r="Q32" i="28"/>
  <c r="P32" i="28"/>
  <c r="N32" i="28"/>
  <c r="M32" i="28"/>
  <c r="T31" i="28"/>
  <c r="S31" i="28"/>
  <c r="R31" i="28"/>
  <c r="Q31" i="28"/>
  <c r="P31" i="28"/>
  <c r="N31" i="28"/>
  <c r="M31" i="28"/>
  <c r="T30" i="28"/>
  <c r="S30" i="28"/>
  <c r="R30" i="28"/>
  <c r="Q30" i="28"/>
  <c r="P30" i="28"/>
  <c r="N30" i="28"/>
  <c r="M30" i="28"/>
  <c r="T29" i="28"/>
  <c r="S29" i="28"/>
  <c r="R29" i="28"/>
  <c r="Q29" i="28"/>
  <c r="P29" i="28"/>
  <c r="N29" i="28"/>
  <c r="M29" i="28"/>
  <c r="T28" i="28"/>
  <c r="S28" i="28"/>
  <c r="R28" i="28"/>
  <c r="Q28" i="28"/>
  <c r="P28" i="28"/>
  <c r="N28" i="28"/>
  <c r="M28" i="28"/>
  <c r="T27" i="28"/>
  <c r="S27" i="28"/>
  <c r="Q27" i="28"/>
  <c r="P27" i="28"/>
  <c r="N27" i="28"/>
  <c r="M27" i="28"/>
  <c r="T26" i="28"/>
  <c r="S26" i="28"/>
  <c r="R26" i="28"/>
  <c r="Q26" i="28"/>
  <c r="N26" i="28"/>
  <c r="M26" i="28"/>
  <c r="T25" i="28"/>
  <c r="S25" i="28"/>
  <c r="R25" i="28"/>
  <c r="Q25" i="28"/>
  <c r="P25" i="28"/>
  <c r="N25" i="28"/>
  <c r="M25" i="28"/>
  <c r="T24" i="28"/>
  <c r="S24" i="28"/>
  <c r="R24" i="28"/>
  <c r="Q24" i="28"/>
  <c r="P24" i="28"/>
  <c r="O24" i="28"/>
  <c r="N24" i="28"/>
  <c r="M24" i="28"/>
  <c r="T23" i="28"/>
  <c r="S23" i="28"/>
  <c r="R23" i="28"/>
  <c r="Q23" i="28"/>
  <c r="P23" i="28"/>
  <c r="O23" i="28"/>
  <c r="N23" i="28"/>
  <c r="M23" i="28"/>
  <c r="T22" i="28"/>
  <c r="S22" i="28"/>
  <c r="R22" i="28"/>
  <c r="Q22" i="28"/>
  <c r="P22" i="28"/>
  <c r="O22" i="28"/>
  <c r="N22" i="28"/>
  <c r="M22" i="28"/>
  <c r="T21" i="28"/>
  <c r="S21" i="28"/>
  <c r="R21" i="28"/>
  <c r="Q21" i="28"/>
  <c r="P21" i="28"/>
  <c r="O21" i="28"/>
  <c r="N21" i="28"/>
  <c r="M21" i="28"/>
  <c r="T20" i="28"/>
  <c r="S20" i="28"/>
  <c r="Q20" i="28"/>
  <c r="P20" i="28"/>
  <c r="O20" i="28"/>
  <c r="N20" i="28"/>
  <c r="M20" i="28"/>
  <c r="T19" i="28"/>
  <c r="S19" i="28"/>
  <c r="R19" i="28"/>
  <c r="Q19" i="28"/>
  <c r="P19" i="28"/>
  <c r="O19" i="28"/>
  <c r="N19" i="28"/>
  <c r="M19" i="28"/>
  <c r="T18" i="28"/>
  <c r="S18" i="28"/>
  <c r="R18" i="28"/>
  <c r="Q18" i="28"/>
  <c r="P18" i="28"/>
  <c r="O18" i="28"/>
  <c r="N18" i="28"/>
  <c r="M18" i="28"/>
  <c r="T17" i="28"/>
  <c r="S17" i="28"/>
  <c r="R17" i="28"/>
  <c r="Q17" i="28"/>
  <c r="P17" i="28"/>
  <c r="O17" i="28"/>
  <c r="N17" i="28"/>
  <c r="M17" i="28"/>
  <c r="T16" i="28"/>
  <c r="S16" i="28"/>
  <c r="R16" i="28"/>
  <c r="Q16" i="28"/>
  <c r="P16" i="28"/>
  <c r="O16" i="28"/>
  <c r="N16" i="28"/>
  <c r="M16" i="28"/>
  <c r="T15" i="28"/>
  <c r="S15" i="28"/>
  <c r="R15" i="28"/>
  <c r="Q15" i="28"/>
  <c r="P15" i="28"/>
  <c r="O15" i="28"/>
  <c r="N15" i="28"/>
  <c r="M15" i="28"/>
  <c r="T14" i="28"/>
  <c r="S14" i="28"/>
  <c r="R14" i="28"/>
  <c r="Q14" i="28"/>
  <c r="P14" i="28"/>
  <c r="O14" i="28"/>
  <c r="N14" i="28"/>
  <c r="M14" i="28"/>
  <c r="T13" i="28"/>
  <c r="S13" i="28"/>
  <c r="Q13" i="28"/>
  <c r="P13" i="28"/>
  <c r="O13" i="28"/>
  <c r="N13" i="28"/>
  <c r="M13" i="28"/>
  <c r="T12" i="28"/>
  <c r="S12" i="28"/>
  <c r="R12" i="28"/>
  <c r="Q12" i="28"/>
  <c r="P12" i="28"/>
  <c r="O12" i="28"/>
  <c r="N12" i="28"/>
  <c r="M12" i="28"/>
  <c r="T11" i="28"/>
  <c r="S11" i="28"/>
  <c r="R11" i="28"/>
  <c r="Q11" i="28"/>
  <c r="P11" i="28"/>
  <c r="O11" i="28"/>
  <c r="N11" i="28"/>
  <c r="M11" i="28"/>
  <c r="T10" i="28"/>
  <c r="S10" i="28"/>
  <c r="R10" i="28"/>
  <c r="Q10" i="28"/>
  <c r="P10" i="28"/>
  <c r="O10" i="28"/>
  <c r="N10" i="28"/>
  <c r="M10" i="28"/>
  <c r="T9" i="28"/>
  <c r="S9" i="28"/>
  <c r="R9" i="28"/>
  <c r="Q9" i="28"/>
  <c r="P9" i="28"/>
  <c r="O9" i="28"/>
  <c r="N9" i="28"/>
  <c r="M9" i="28"/>
  <c r="T8" i="28"/>
  <c r="S8" i="28"/>
  <c r="R8" i="28"/>
  <c r="Q8" i="28"/>
  <c r="P8" i="28"/>
  <c r="O8" i="28"/>
  <c r="N8" i="28"/>
  <c r="M8" i="28"/>
  <c r="T7" i="28"/>
  <c r="S7" i="28"/>
  <c r="R7" i="28"/>
  <c r="Q7" i="28"/>
  <c r="P7" i="28"/>
  <c r="O7" i="28"/>
  <c r="N7" i="28"/>
  <c r="M7" i="28"/>
  <c r="T6" i="28"/>
  <c r="S6" i="28"/>
  <c r="Q6" i="28"/>
  <c r="P6" i="28"/>
  <c r="N6" i="28"/>
  <c r="M6" i="28"/>
  <c r="AT36" i="28"/>
  <c r="AA36" i="28"/>
  <c r="Z36" i="28"/>
  <c r="Y36" i="28"/>
  <c r="X36" i="28"/>
  <c r="W36" i="28"/>
  <c r="V36" i="28"/>
  <c r="U36" i="28"/>
  <c r="AT35" i="28"/>
  <c r="AA35" i="28"/>
  <c r="Z35" i="28"/>
  <c r="Y35" i="28"/>
  <c r="X35" i="28"/>
  <c r="W35" i="28"/>
  <c r="V35" i="28"/>
  <c r="U35" i="28"/>
  <c r="AT34" i="28"/>
  <c r="AA34" i="28"/>
  <c r="Z34" i="28"/>
  <c r="Y34" i="28"/>
  <c r="X34" i="28"/>
  <c r="W34" i="28"/>
  <c r="V34" i="28"/>
  <c r="U34" i="28"/>
  <c r="AT33" i="28"/>
  <c r="AA33" i="28"/>
  <c r="Z33" i="28"/>
  <c r="Y33" i="28"/>
  <c r="X33" i="28"/>
  <c r="W33" i="28"/>
  <c r="V33" i="28"/>
  <c r="U33" i="28"/>
  <c r="AT32" i="28"/>
  <c r="AA32" i="28"/>
  <c r="Z32" i="28"/>
  <c r="Y32" i="28"/>
  <c r="X32" i="28"/>
  <c r="W32" i="28"/>
  <c r="V32" i="28"/>
  <c r="U32" i="28"/>
  <c r="AT31" i="28"/>
  <c r="AA31" i="28"/>
  <c r="Z31" i="28"/>
  <c r="Y31" i="28"/>
  <c r="X31" i="28"/>
  <c r="W31" i="28"/>
  <c r="V31" i="28"/>
  <c r="U31" i="28"/>
  <c r="AT30" i="28"/>
  <c r="AA30" i="28"/>
  <c r="Z30" i="28"/>
  <c r="Y30" i="28"/>
  <c r="X30" i="28"/>
  <c r="W30" i="28"/>
  <c r="V30" i="28"/>
  <c r="U30" i="28"/>
  <c r="AT29" i="28"/>
  <c r="AA29" i="28"/>
  <c r="Z29" i="28"/>
  <c r="Y29" i="28"/>
  <c r="X29" i="28"/>
  <c r="W29" i="28"/>
  <c r="V29" i="28"/>
  <c r="U29" i="28"/>
  <c r="AT28" i="28"/>
  <c r="AA28" i="28"/>
  <c r="Z28" i="28"/>
  <c r="Y28" i="28"/>
  <c r="W28" i="28"/>
  <c r="V28" i="28"/>
  <c r="U28" i="28"/>
  <c r="AT27" i="28"/>
  <c r="AA27" i="28"/>
  <c r="Z27" i="28"/>
  <c r="Y27" i="28"/>
  <c r="W27" i="28"/>
  <c r="V27" i="28"/>
  <c r="U27" i="28"/>
  <c r="AT26" i="28"/>
  <c r="AA26" i="28"/>
  <c r="Z26" i="28"/>
  <c r="Y26" i="28"/>
  <c r="X26" i="28"/>
  <c r="W26" i="28"/>
  <c r="V26" i="28"/>
  <c r="U26" i="28"/>
  <c r="AT25" i="28"/>
  <c r="AA25" i="28"/>
  <c r="Z25" i="28"/>
  <c r="Y25" i="28"/>
  <c r="X25" i="28"/>
  <c r="W25" i="28"/>
  <c r="V25" i="28"/>
  <c r="U25" i="28"/>
  <c r="AT24" i="28"/>
  <c r="AA24" i="28"/>
  <c r="Z24" i="28"/>
  <c r="Y24" i="28"/>
  <c r="X24" i="28"/>
  <c r="W24" i="28"/>
  <c r="V24" i="28"/>
  <c r="U24" i="28"/>
  <c r="AT23" i="28"/>
  <c r="AA23" i="28"/>
  <c r="Z23" i="28"/>
  <c r="Y23" i="28"/>
  <c r="X23" i="28"/>
  <c r="W23" i="28"/>
  <c r="V23" i="28"/>
  <c r="U23" i="28"/>
  <c r="AT22" i="28"/>
  <c r="AA22" i="28"/>
  <c r="Z22" i="28"/>
  <c r="Y22" i="28"/>
  <c r="X22" i="28"/>
  <c r="W22" i="28"/>
  <c r="V22" i="28"/>
  <c r="U22" i="28"/>
  <c r="AT21" i="28"/>
  <c r="AA21" i="28"/>
  <c r="Z21" i="28"/>
  <c r="Y21" i="28"/>
  <c r="X21" i="28"/>
  <c r="W21" i="28"/>
  <c r="V21" i="28"/>
  <c r="U21" i="28"/>
  <c r="AT20" i="28"/>
  <c r="AA20" i="28"/>
  <c r="Z20" i="28"/>
  <c r="Y20" i="28"/>
  <c r="W20" i="28"/>
  <c r="V20" i="28"/>
  <c r="U20" i="28"/>
  <c r="AT19" i="28"/>
  <c r="AA19" i="28"/>
  <c r="Z19" i="28"/>
  <c r="Y19" i="28"/>
  <c r="X19" i="28"/>
  <c r="W19" i="28"/>
  <c r="V19" i="28"/>
  <c r="U19" i="28"/>
  <c r="AT18" i="28"/>
  <c r="AA18" i="28"/>
  <c r="Z18" i="28"/>
  <c r="Y18" i="28"/>
  <c r="X18" i="28"/>
  <c r="W18" i="28"/>
  <c r="V18" i="28"/>
  <c r="U18" i="28"/>
  <c r="AT17" i="28"/>
  <c r="AA17" i="28"/>
  <c r="Z17" i="28"/>
  <c r="Y17" i="28"/>
  <c r="X17" i="28"/>
  <c r="W17" i="28"/>
  <c r="V17" i="28"/>
  <c r="U17" i="28"/>
  <c r="AT16" i="28"/>
  <c r="AA16" i="28"/>
  <c r="Z16" i="28"/>
  <c r="Y16" i="28"/>
  <c r="X16" i="28"/>
  <c r="W16" i="28"/>
  <c r="V16" i="28"/>
  <c r="U16" i="28"/>
  <c r="AT15" i="28"/>
  <c r="AA15" i="28"/>
  <c r="Z15" i="28"/>
  <c r="Y15" i="28"/>
  <c r="X15" i="28"/>
  <c r="V15" i="28"/>
  <c r="U15" i="28"/>
  <c r="AA14" i="28"/>
  <c r="Z14" i="28"/>
  <c r="Y14" i="28"/>
  <c r="X14" i="28"/>
  <c r="W14" i="28"/>
  <c r="V14" i="28"/>
  <c r="U14" i="28"/>
  <c r="AT13" i="28"/>
  <c r="AA13" i="28"/>
  <c r="Z13" i="28"/>
  <c r="Y13" i="28"/>
  <c r="W13" i="28"/>
  <c r="V13" i="28"/>
  <c r="U13" i="28"/>
  <c r="AT12" i="28"/>
  <c r="AA12" i="28"/>
  <c r="Z12" i="28"/>
  <c r="Y12" i="28"/>
  <c r="X12" i="28"/>
  <c r="W12" i="28"/>
  <c r="V12" i="28"/>
  <c r="U12" i="28"/>
  <c r="AT11" i="28"/>
  <c r="AA11" i="28"/>
  <c r="Z11" i="28"/>
  <c r="Y11" i="28"/>
  <c r="X11" i="28"/>
  <c r="W11" i="28"/>
  <c r="V11" i="28"/>
  <c r="U11" i="28"/>
  <c r="AT10" i="28"/>
  <c r="AA10" i="28"/>
  <c r="Z10" i="28"/>
  <c r="Y10" i="28"/>
  <c r="W10" i="28"/>
  <c r="V10" i="28"/>
  <c r="U10" i="28"/>
  <c r="AT9" i="28"/>
  <c r="AA9" i="28"/>
  <c r="Z9" i="28"/>
  <c r="Y9" i="28"/>
  <c r="X9" i="28"/>
  <c r="W9" i="28"/>
  <c r="V9" i="28"/>
  <c r="U9" i="28"/>
  <c r="AT8" i="28"/>
  <c r="AA8" i="28"/>
  <c r="Z8" i="28"/>
  <c r="Y8" i="28"/>
  <c r="X8" i="28"/>
  <c r="W8" i="28"/>
  <c r="V8" i="28"/>
  <c r="U8" i="28"/>
  <c r="AT7" i="28"/>
  <c r="AA7" i="28"/>
  <c r="Z7" i="28"/>
  <c r="Y7" i="28"/>
  <c r="X7" i="28"/>
  <c r="W7" i="28"/>
  <c r="V7" i="28"/>
  <c r="U7" i="28"/>
  <c r="AT6" i="28"/>
  <c r="AA6" i="28"/>
  <c r="Z6" i="28"/>
  <c r="Y6" i="28"/>
  <c r="W6" i="28"/>
  <c r="V6" i="28"/>
  <c r="U6" i="28"/>
  <c r="AS3" i="28"/>
  <c r="AS31" i="28"/>
  <c r="AR6" i="28"/>
  <c r="AN3" i="28"/>
  <c r="AN21" i="28"/>
  <c r="AI3" i="28"/>
  <c r="AM3" i="28"/>
  <c r="AM15" i="28"/>
  <c r="AL3" i="28"/>
  <c r="AL25" i="28"/>
  <c r="AK3" i="28"/>
  <c r="AJ3" i="28"/>
  <c r="AJ26" i="28"/>
  <c r="AD3" i="28"/>
  <c r="AD35" i="28"/>
  <c r="AH3" i="28"/>
  <c r="AG3" i="28"/>
  <c r="AF3" i="28"/>
  <c r="AF36" i="28"/>
  <c r="AE3" i="28"/>
  <c r="AQ3" i="28"/>
  <c r="AP3" i="28"/>
  <c r="AP36" i="28"/>
  <c r="AO3" i="28"/>
  <c r="AO9" i="28"/>
  <c r="AC3" i="28"/>
  <c r="AC36" i="28"/>
  <c r="C7" i="28"/>
  <c r="E5" i="14"/>
  <c r="H5" i="14"/>
  <c r="K5" i="14"/>
  <c r="L5" i="14"/>
  <c r="N5" i="14"/>
  <c r="Q5" i="14"/>
  <c r="T5" i="14"/>
  <c r="W5" i="14"/>
  <c r="W12" i="14"/>
  <c r="E6" i="14"/>
  <c r="H6" i="14"/>
  <c r="K6" i="14"/>
  <c r="N6" i="14"/>
  <c r="Q6" i="14"/>
  <c r="T6" i="14"/>
  <c r="U6" i="14"/>
  <c r="W6" i="14"/>
  <c r="E9" i="14"/>
  <c r="H9" i="14"/>
  <c r="K9" i="14"/>
  <c r="N9" i="14"/>
  <c r="Q9" i="14"/>
  <c r="T9" i="14"/>
  <c r="W9" i="14"/>
  <c r="E10" i="14"/>
  <c r="H10" i="14"/>
  <c r="I10" i="14"/>
  <c r="K10" i="14"/>
  <c r="N10" i="14"/>
  <c r="Q10" i="14"/>
  <c r="T10" i="14"/>
  <c r="U10" i="14"/>
  <c r="W10" i="14"/>
  <c r="E17" i="14"/>
  <c r="F17" i="14"/>
  <c r="G17" i="14"/>
  <c r="G21" i="14"/>
  <c r="R6" i="14"/>
  <c r="C23" i="14"/>
  <c r="E5" i="15"/>
  <c r="H5" i="15"/>
  <c r="K5" i="15"/>
  <c r="K12" i="15"/>
  <c r="N5" i="15"/>
  <c r="Q5" i="15"/>
  <c r="T5" i="15"/>
  <c r="W5" i="15"/>
  <c r="E6" i="15"/>
  <c r="F6" i="15"/>
  <c r="H6" i="15"/>
  <c r="I6" i="15"/>
  <c r="K6" i="15"/>
  <c r="N6" i="15"/>
  <c r="Q6" i="15"/>
  <c r="R6" i="15"/>
  <c r="T6" i="15"/>
  <c r="W6" i="15"/>
  <c r="E9" i="15"/>
  <c r="F9" i="15"/>
  <c r="H9" i="15"/>
  <c r="K9" i="15"/>
  <c r="N9" i="15"/>
  <c r="Q9" i="15"/>
  <c r="R9" i="15"/>
  <c r="T9" i="15"/>
  <c r="W9" i="15"/>
  <c r="E10" i="15"/>
  <c r="H10" i="15"/>
  <c r="I10" i="15"/>
  <c r="K10" i="15"/>
  <c r="L10" i="15"/>
  <c r="N10" i="15"/>
  <c r="Q10" i="15"/>
  <c r="R10" i="15"/>
  <c r="T10" i="15"/>
  <c r="W10" i="15"/>
  <c r="X10" i="15"/>
  <c r="E18" i="15"/>
  <c r="F18" i="15"/>
  <c r="G18" i="15"/>
  <c r="G22" i="15"/>
  <c r="C24" i="15"/>
  <c r="E5" i="16"/>
  <c r="H5" i="16"/>
  <c r="K5" i="16"/>
  <c r="N5" i="16"/>
  <c r="Q5" i="16"/>
  <c r="T5" i="16"/>
  <c r="W5" i="16"/>
  <c r="E6" i="16"/>
  <c r="F6" i="16"/>
  <c r="H6" i="16"/>
  <c r="K6" i="16"/>
  <c r="L6" i="16"/>
  <c r="N6" i="16"/>
  <c r="O6" i="16"/>
  <c r="Q6" i="16"/>
  <c r="T6" i="16"/>
  <c r="W6" i="16"/>
  <c r="E9" i="16"/>
  <c r="H9" i="16"/>
  <c r="K9" i="16"/>
  <c r="N9" i="16"/>
  <c r="Q9" i="16"/>
  <c r="T9" i="16"/>
  <c r="W9" i="16"/>
  <c r="E10" i="16"/>
  <c r="F10" i="16"/>
  <c r="H10" i="16"/>
  <c r="K10" i="16"/>
  <c r="N10" i="16"/>
  <c r="O10" i="16"/>
  <c r="Q10" i="16"/>
  <c r="R10" i="16"/>
  <c r="T10" i="16"/>
  <c r="U10" i="16"/>
  <c r="W10" i="16"/>
  <c r="E18" i="16"/>
  <c r="F18" i="16"/>
  <c r="G18" i="16"/>
  <c r="I5" i="16"/>
  <c r="I12" i="16"/>
  <c r="G22" i="16"/>
  <c r="C24" i="16"/>
  <c r="AF12" i="28"/>
  <c r="AG22" i="28"/>
  <c r="AI31" i="28"/>
  <c r="AG6" i="28"/>
  <c r="AD18" i="28"/>
  <c r="AD24" i="28"/>
  <c r="AD30" i="28"/>
  <c r="AD36" i="28"/>
  <c r="AF7" i="28"/>
  <c r="AD10" i="28"/>
  <c r="AI20" i="28"/>
  <c r="AG25" i="28"/>
  <c r="AI32" i="28"/>
  <c r="AG7" i="28"/>
  <c r="AD19" i="28"/>
  <c r="AF20" i="28"/>
  <c r="AF32" i="28"/>
  <c r="AN6" i="28"/>
  <c r="AN17" i="28"/>
  <c r="AN9" i="28"/>
  <c r="AO10" i="28"/>
  <c r="AN16" i="28"/>
  <c r="AN28" i="28"/>
  <c r="AN32" i="28"/>
  <c r="AN23" i="28"/>
  <c r="AN27" i="28"/>
  <c r="AO28" i="28"/>
  <c r="AN11" i="28"/>
  <c r="AN22" i="28"/>
  <c r="AN26" i="28"/>
  <c r="AB19" i="28"/>
  <c r="AB35" i="28"/>
  <c r="AB17" i="28"/>
  <c r="AC12" i="28"/>
  <c r="AB14" i="28"/>
  <c r="AB31" i="28"/>
  <c r="AB21" i="28"/>
  <c r="AJ17" i="28"/>
  <c r="AJ18" i="28"/>
  <c r="AJ34" i="28"/>
  <c r="AJ19" i="28"/>
  <c r="AJ20" i="28"/>
  <c r="AJ28" i="28"/>
  <c r="AJ35" i="28"/>
  <c r="AJ36" i="28"/>
  <c r="AJ11" i="28"/>
  <c r="AJ30" i="28"/>
  <c r="AJ6" i="28"/>
  <c r="AJ9" i="28"/>
  <c r="AJ16" i="28"/>
  <c r="AJ23" i="28"/>
  <c r="AC25" i="28"/>
  <c r="AC27" i="28"/>
  <c r="AC11" i="28"/>
  <c r="AB18" i="28"/>
  <c r="AB24" i="28"/>
  <c r="AB32" i="28"/>
  <c r="AC26" i="28"/>
  <c r="AC28" i="28"/>
  <c r="AR8" i="28"/>
  <c r="AP11" i="28"/>
  <c r="AP12" i="28"/>
  <c r="AP13" i="28"/>
  <c r="AP14" i="28"/>
  <c r="AR15" i="28"/>
  <c r="AR16" i="28"/>
  <c r="AR19" i="28"/>
  <c r="AR21" i="28"/>
  <c r="AR23" i="28"/>
  <c r="AR25" i="28"/>
  <c r="AR27" i="28"/>
  <c r="AR29" i="28"/>
  <c r="AR30" i="28"/>
  <c r="AR31" i="28"/>
  <c r="AR32" i="28"/>
  <c r="AR33" i="28"/>
  <c r="AR35" i="28"/>
  <c r="AP6" i="28"/>
  <c r="AP8" i="28"/>
  <c r="AP9" i="28"/>
  <c r="AP10" i="28"/>
  <c r="AR10" i="28"/>
  <c r="AR12" i="28"/>
  <c r="AR13" i="28"/>
  <c r="AP16" i="28"/>
  <c r="AP17" i="28"/>
  <c r="AP18" i="28"/>
  <c r="AP19" i="28"/>
  <c r="AP20" i="28"/>
  <c r="AP21" i="28"/>
  <c r="AP22" i="28"/>
  <c r="AP23" i="28"/>
  <c r="AP24" i="28"/>
  <c r="AP25" i="28"/>
  <c r="AP26" i="28"/>
  <c r="AP27" i="28"/>
  <c r="AP28" i="28"/>
  <c r="AP30" i="28"/>
  <c r="AP31" i="28"/>
  <c r="AP32" i="28"/>
  <c r="AP34" i="28"/>
  <c r="AP35" i="28"/>
  <c r="AQ24" i="28"/>
  <c r="L6" i="15"/>
  <c r="AQ19" i="28"/>
  <c r="AQ18" i="28"/>
  <c r="AQ23" i="28"/>
  <c r="O6" i="15"/>
  <c r="AQ29" i="28"/>
  <c r="AQ22" i="28"/>
  <c r="AQ28" i="28"/>
  <c r="D7" i="28"/>
  <c r="AJ24" i="28"/>
  <c r="AJ8" i="28"/>
  <c r="AJ27" i="28"/>
  <c r="AJ10" i="28"/>
  <c r="AO25" i="28"/>
  <c r="AF26" i="28"/>
  <c r="AF18" i="28"/>
  <c r="AI8" i="28"/>
  <c r="AF15" i="28"/>
  <c r="X6" i="15"/>
  <c r="E12" i="14"/>
  <c r="X6" i="16"/>
  <c r="Q12" i="16"/>
  <c r="U6" i="16"/>
  <c r="T12" i="16"/>
  <c r="L10" i="14"/>
  <c r="X10" i="16"/>
  <c r="R6" i="16"/>
  <c r="O10" i="15"/>
  <c r="I10" i="16"/>
  <c r="R10" i="14"/>
  <c r="D13" i="28"/>
  <c r="W12" i="15"/>
  <c r="U6" i="15"/>
  <c r="L10" i="16"/>
  <c r="AR7" i="28"/>
  <c r="B23" i="28"/>
  <c r="C14" i="28"/>
  <c r="B24" i="28"/>
  <c r="C15" i="28"/>
  <c r="E14" i="28"/>
  <c r="D14" i="28"/>
  <c r="D16" i="28"/>
  <c r="E15" i="28"/>
  <c r="B22" i="28"/>
  <c r="E13" i="28"/>
  <c r="E16" i="28"/>
  <c r="C13" i="28"/>
  <c r="E12" i="28"/>
  <c r="C12" i="28"/>
  <c r="F12" i="28"/>
  <c r="B21" i="28"/>
  <c r="D12" i="28"/>
  <c r="D15" i="28"/>
  <c r="F15" i="28"/>
  <c r="D11" i="28"/>
  <c r="E11" i="28"/>
  <c r="B20" i="28"/>
  <c r="O9" i="14"/>
  <c r="AC9" i="28"/>
  <c r="AC23" i="28"/>
  <c r="AD29" i="28"/>
  <c r="AD23" i="28"/>
  <c r="AD17" i="28"/>
  <c r="AE18" i="28"/>
  <c r="AM7" i="28"/>
  <c r="AC22" i="28"/>
  <c r="AC7" i="28"/>
  <c r="AM17" i="28"/>
  <c r="AD8" i="28"/>
  <c r="AD34" i="28"/>
  <c r="AD22" i="28"/>
  <c r="AD9" i="28"/>
  <c r="AC8" i="28"/>
  <c r="AC35" i="28"/>
  <c r="AC19" i="28"/>
  <c r="AD33" i="28"/>
  <c r="Q12" i="14"/>
  <c r="X10" i="14"/>
  <c r="AE30" i="28"/>
  <c r="AC34" i="28"/>
  <c r="AC18" i="28"/>
  <c r="AC17" i="28"/>
  <c r="AM24" i="28"/>
  <c r="AD27" i="28"/>
  <c r="AD15" i="28"/>
  <c r="AD12" i="28"/>
  <c r="AD13" i="28"/>
  <c r="AM26" i="28"/>
  <c r="AM6" i="28"/>
  <c r="AD16" i="28"/>
  <c r="AM35" i="28"/>
  <c r="AC16" i="28"/>
  <c r="AC31" i="28"/>
  <c r="AC15" i="28"/>
  <c r="AC10" i="28"/>
  <c r="AD32" i="28"/>
  <c r="AD26" i="28"/>
  <c r="AD20" i="28"/>
  <c r="AE16" i="28"/>
  <c r="AC30" i="28"/>
  <c r="AM34" i="28"/>
  <c r="AD31" i="28"/>
  <c r="AE31" i="28"/>
  <c r="AG66" i="42"/>
  <c r="AG68" i="42"/>
  <c r="N12" i="15"/>
  <c r="C16" i="28"/>
  <c r="H12" i="15"/>
  <c r="AK27" i="28"/>
  <c r="AK9" i="28"/>
  <c r="AK22" i="28"/>
  <c r="AK26" i="28"/>
  <c r="AK15" i="28"/>
  <c r="K12" i="16"/>
  <c r="F6" i="14"/>
  <c r="O10" i="14"/>
  <c r="X6" i="14"/>
  <c r="I6" i="14"/>
  <c r="AQ14" i="28"/>
  <c r="AQ6" i="28"/>
  <c r="AQ25" i="28"/>
  <c r="AQ9" i="28"/>
  <c r="AQ8" i="28"/>
  <c r="AQ12" i="28"/>
  <c r="AQ32" i="28"/>
  <c r="AQ13" i="28"/>
  <c r="AQ33" i="28"/>
  <c r="AQ36" i="28"/>
  <c r="AQ16" i="28"/>
  <c r="AQ35" i="28"/>
  <c r="AQ34" i="28"/>
  <c r="AQ21" i="28"/>
  <c r="AQ20" i="28"/>
  <c r="AQ17" i="28"/>
  <c r="AQ27" i="28"/>
  <c r="AQ26" i="28"/>
  <c r="AQ31" i="28"/>
  <c r="AQ11" i="28"/>
  <c r="AQ30" i="28"/>
  <c r="AQ10" i="28"/>
  <c r="F13" i="28"/>
  <c r="I6" i="16"/>
  <c r="H12" i="16"/>
  <c r="F10" i="14"/>
  <c r="F11" i="28"/>
  <c r="AF22" i="28"/>
  <c r="AF9" i="28"/>
  <c r="AF33" i="28"/>
  <c r="AF25" i="28"/>
  <c r="AF14" i="28"/>
  <c r="AF30" i="28"/>
  <c r="AF17" i="28"/>
  <c r="AF6" i="28"/>
  <c r="AM22" i="28"/>
  <c r="AF28" i="28"/>
  <c r="AF29" i="28"/>
  <c r="AF21" i="28"/>
  <c r="AM36" i="28"/>
  <c r="AF13" i="28"/>
  <c r="AM20" i="28"/>
  <c r="AF11" i="28"/>
  <c r="AF10" i="28"/>
  <c r="AM33" i="28"/>
  <c r="AF31" i="28"/>
  <c r="AF34" i="28"/>
  <c r="AM19" i="28"/>
  <c r="AM12" i="28"/>
  <c r="AF8" i="28"/>
  <c r="AF24" i="28"/>
  <c r="AF16" i="28"/>
  <c r="AF35" i="28"/>
  <c r="AF27" i="28"/>
  <c r="AF19" i="28"/>
  <c r="AC32" i="28"/>
  <c r="AC6" i="28"/>
  <c r="AC29" i="28"/>
  <c r="AC33" i="28"/>
  <c r="AC20" i="28"/>
  <c r="AC21" i="28"/>
  <c r="AC24" i="28"/>
  <c r="AC13" i="28"/>
  <c r="AC14" i="28"/>
  <c r="AE11" i="28"/>
  <c r="AE32" i="28"/>
  <c r="AE6" i="28"/>
  <c r="AE14" i="28"/>
  <c r="AF23" i="28"/>
  <c r="AG17" i="28"/>
  <c r="AG10" i="28"/>
  <c r="AG30" i="28"/>
  <c r="AG15" i="28"/>
  <c r="AG8" i="28"/>
  <c r="AG28" i="28"/>
  <c r="AG36" i="28"/>
  <c r="AG26" i="28"/>
  <c r="AG16" i="28"/>
  <c r="AG20" i="28"/>
  <c r="AI12" i="28"/>
  <c r="AI16" i="28"/>
  <c r="AI11" i="28"/>
  <c r="AI29" i="28"/>
  <c r="AI22" i="28"/>
  <c r="AI7" i="28"/>
  <c r="AI30" i="28"/>
  <c r="AI18" i="28"/>
  <c r="AI25" i="28"/>
  <c r="AK13" i="28"/>
  <c r="AK35" i="28"/>
  <c r="AK7" i="28"/>
  <c r="AK11" i="28"/>
  <c r="AK29" i="28"/>
  <c r="AK14" i="28"/>
  <c r="AK10" i="28"/>
  <c r="AK28" i="28"/>
  <c r="AN35" i="28"/>
  <c r="AN8" i="28"/>
  <c r="AN13" i="28"/>
  <c r="AN31" i="28"/>
  <c r="AN10" i="28"/>
  <c r="AN33" i="28"/>
  <c r="AN18" i="28"/>
  <c r="AN15" i="28"/>
  <c r="AN24" i="28"/>
  <c r="AN12" i="28"/>
  <c r="AN20" i="28"/>
  <c r="AN29" i="28"/>
  <c r="AN14" i="28"/>
  <c r="AO8" i="28"/>
  <c r="AO23" i="28"/>
  <c r="AO30" i="28"/>
  <c r="AO22" i="28"/>
  <c r="AR14" i="28"/>
  <c r="AR11" i="28"/>
  <c r="AR36" i="28"/>
  <c r="AR28" i="28"/>
  <c r="AR20" i="28"/>
  <c r="AR34" i="28"/>
  <c r="AR26" i="28"/>
  <c r="AR18" i="28"/>
  <c r="AR9" i="28"/>
  <c r="AS12" i="28"/>
  <c r="AB34" i="28"/>
  <c r="AB16" i="28"/>
  <c r="AB29" i="28"/>
  <c r="AB13" i="28"/>
  <c r="AB27" i="28"/>
  <c r="AB28" i="28"/>
  <c r="AB8" i="28"/>
  <c r="AB33" i="28"/>
  <c r="AB10" i="28"/>
  <c r="AB6" i="28"/>
  <c r="AB26" i="28"/>
  <c r="AB7" i="28"/>
  <c r="AB25" i="28"/>
  <c r="AB9" i="28"/>
  <c r="AB30" i="28"/>
  <c r="AB22" i="28"/>
  <c r="AB23" i="28"/>
  <c r="AB12" i="28"/>
  <c r="AB36" i="28"/>
  <c r="AB20" i="28"/>
  <c r="AB15" i="28"/>
  <c r="AO24" i="28"/>
  <c r="AO21" i="28"/>
  <c r="AO34" i="28"/>
  <c r="AO31" i="28"/>
  <c r="AO12" i="28"/>
  <c r="AO18" i="28"/>
  <c r="AO6" i="28"/>
  <c r="AO16" i="28"/>
  <c r="AO33" i="28"/>
  <c r="AO17" i="28"/>
  <c r="AO7" i="28"/>
  <c r="AO35" i="28"/>
  <c r="AO20" i="28"/>
  <c r="AO32" i="28"/>
  <c r="AO13" i="28"/>
  <c r="AO29" i="28"/>
  <c r="AO14" i="28"/>
  <c r="AO36" i="28"/>
  <c r="AO19" i="28"/>
  <c r="AO26" i="28"/>
  <c r="AO11" i="28"/>
  <c r="AO27" i="28"/>
  <c r="AO15" i="28"/>
  <c r="AN30" i="28"/>
  <c r="AN25" i="28"/>
  <c r="AN34" i="28"/>
  <c r="AN7" i="28"/>
  <c r="AN19" i="28"/>
  <c r="AN36" i="28"/>
  <c r="AM8" i="28"/>
  <c r="AM25" i="28"/>
  <c r="AM27" i="28"/>
  <c r="AM21" i="28"/>
  <c r="AM13" i="28"/>
  <c r="AM11" i="28"/>
  <c r="AM9" i="28"/>
  <c r="AM30" i="28"/>
  <c r="AM28" i="28"/>
  <c r="AM14" i="28"/>
  <c r="AM16" i="28"/>
  <c r="AM23" i="28"/>
  <c r="AM10" i="28"/>
  <c r="AM32" i="28"/>
  <c r="AM18" i="28"/>
  <c r="AM29" i="28"/>
  <c r="AM31" i="28"/>
  <c r="AJ25" i="28"/>
  <c r="AJ22" i="28"/>
  <c r="AJ13" i="28"/>
  <c r="AJ32" i="28"/>
  <c r="AH12" i="28"/>
  <c r="AH10" i="28"/>
  <c r="AH17" i="28"/>
  <c r="AH28" i="28"/>
  <c r="AH24" i="28"/>
  <c r="AE35" i="28"/>
  <c r="AD11" i="28"/>
  <c r="N12" i="16"/>
  <c r="E12" i="16"/>
  <c r="AG14" i="28"/>
  <c r="AG19" i="28"/>
  <c r="AG31" i="28"/>
  <c r="AG11" i="28"/>
  <c r="AG13" i="28"/>
  <c r="AG32" i="28"/>
  <c r="AG12" i="28"/>
  <c r="AG21" i="28"/>
  <c r="AG35" i="28"/>
  <c r="AG9" i="28"/>
  <c r="AG27" i="28"/>
  <c r="AG33" i="28"/>
  <c r="AG24" i="28"/>
  <c r="AG18" i="28"/>
  <c r="AG34" i="28"/>
  <c r="AG23" i="28"/>
  <c r="AG29" i="28"/>
  <c r="F14" i="28"/>
  <c r="W12" i="16"/>
  <c r="AE17" i="28"/>
  <c r="AE27" i="28"/>
  <c r="AE9" i="28"/>
  <c r="AE33" i="28"/>
  <c r="AE25" i="28"/>
  <c r="AE24" i="28"/>
  <c r="AE10" i="28"/>
  <c r="AE34" i="28"/>
  <c r="AE7" i="28"/>
  <c r="AE28" i="28"/>
  <c r="AE23" i="28"/>
  <c r="AE29" i="28"/>
  <c r="AE26" i="28"/>
  <c r="AE8" i="28"/>
  <c r="AE22" i="28"/>
  <c r="AE20" i="28"/>
  <c r="AE15" i="28"/>
  <c r="AE12" i="28"/>
  <c r="AE13" i="28"/>
  <c r="AS16" i="28"/>
  <c r="AS7" i="28"/>
  <c r="AS13" i="28"/>
  <c r="AE36" i="28"/>
  <c r="AE21" i="28"/>
  <c r="L9" i="16"/>
  <c r="I9" i="16"/>
  <c r="U9" i="15"/>
  <c r="I9" i="15"/>
  <c r="O9" i="15"/>
  <c r="I5" i="15"/>
  <c r="I12" i="15"/>
  <c r="R5" i="15"/>
  <c r="R12" i="15"/>
  <c r="L5" i="15"/>
  <c r="U5" i="15"/>
  <c r="AK36" i="28"/>
  <c r="AK16" i="28"/>
  <c r="AK31" i="28"/>
  <c r="AK23" i="28"/>
  <c r="AK20" i="28"/>
  <c r="AK25" i="28"/>
  <c r="AK30" i="28"/>
  <c r="AK8" i="28"/>
  <c r="AK33" i="28"/>
  <c r="AK34" i="28"/>
  <c r="AK21" i="28"/>
  <c r="AK18" i="28"/>
  <c r="AK17" i="28"/>
  <c r="AK19" i="28"/>
  <c r="AK32" i="28"/>
  <c r="AK24" i="28"/>
  <c r="AK6" i="28"/>
  <c r="AK12" i="28"/>
  <c r="AI14" i="28"/>
  <c r="AI19" i="28"/>
  <c r="AI27" i="28"/>
  <c r="AI35" i="28"/>
  <c r="AI24" i="28"/>
  <c r="AI6" i="28"/>
  <c r="AI21" i="28"/>
  <c r="AI15" i="28"/>
  <c r="AI28" i="28"/>
  <c r="AI34" i="28"/>
  <c r="AI26" i="28"/>
  <c r="AI33" i="28"/>
  <c r="AI9" i="28"/>
  <c r="AI17" i="28"/>
  <c r="AI23" i="28"/>
  <c r="AI13" i="28"/>
  <c r="AI36" i="28"/>
  <c r="AI10" i="28"/>
  <c r="AE19" i="28"/>
  <c r="F9" i="14"/>
  <c r="R5" i="14"/>
  <c r="X9" i="14"/>
  <c r="I9" i="14"/>
  <c r="R9" i="14"/>
  <c r="K12" i="14"/>
  <c r="L6" i="14"/>
  <c r="U5" i="14"/>
  <c r="T12" i="14"/>
  <c r="H12" i="14"/>
  <c r="I5" i="14"/>
  <c r="I12" i="14"/>
  <c r="N1" i="42"/>
  <c r="AC5" i="28"/>
  <c r="AU69" i="42"/>
  <c r="Z5" i="28"/>
  <c r="AR69" i="42"/>
  <c r="AR24" i="28"/>
  <c r="AR22" i="28"/>
  <c r="AN5" i="28"/>
  <c r="BF69" i="42"/>
  <c r="V5" i="28"/>
  <c r="AN69" i="42"/>
  <c r="S5" i="28"/>
  <c r="AK69" i="42"/>
  <c r="AA5" i="28"/>
  <c r="AS69" i="42"/>
  <c r="U5" i="28"/>
  <c r="AM69" i="42"/>
  <c r="O5" i="28"/>
  <c r="AG69" i="42"/>
  <c r="X5" i="28"/>
  <c r="AP69" i="42"/>
  <c r="AI5" i="28"/>
  <c r="BA69" i="42"/>
  <c r="W5" i="28"/>
  <c r="AO69" i="42"/>
  <c r="M5" i="28"/>
  <c r="Q5" i="28"/>
  <c r="AI69" i="42"/>
  <c r="AT5" i="28"/>
  <c r="BL69" i="42"/>
  <c r="AP5" i="28"/>
  <c r="BH69" i="42"/>
  <c r="AR5" i="28"/>
  <c r="BJ69" i="42"/>
  <c r="N5" i="28"/>
  <c r="P5" i="28"/>
  <c r="AH69" i="42"/>
  <c r="T5" i="28"/>
  <c r="AL69" i="42"/>
  <c r="AK5" i="28"/>
  <c r="BC69" i="42"/>
  <c r="AG5" i="28"/>
  <c r="AY69" i="42"/>
  <c r="Y5" i="28"/>
  <c r="AQ69" i="42"/>
  <c r="BP66" i="42"/>
  <c r="BQ66" i="42"/>
  <c r="I3" i="42"/>
  <c r="AL29" i="28"/>
  <c r="Q12" i="15"/>
  <c r="L5" i="16"/>
  <c r="L12" i="16"/>
  <c r="AS24" i="28"/>
  <c r="AL33" i="28"/>
  <c r="X5" i="15"/>
  <c r="AS17" i="28"/>
  <c r="AS27" i="28"/>
  <c r="AS6" i="28"/>
  <c r="AS23" i="28"/>
  <c r="AS36" i="28"/>
  <c r="AS34" i="28"/>
  <c r="AS11" i="28"/>
  <c r="AS20" i="28"/>
  <c r="AS22" i="28"/>
  <c r="AS30" i="28"/>
  <c r="AS32" i="28"/>
  <c r="AS26" i="28"/>
  <c r="AS18" i="28"/>
  <c r="AS28" i="28"/>
  <c r="AS14" i="28"/>
  <c r="AS35" i="28"/>
  <c r="AS21" i="28"/>
  <c r="AS15" i="28"/>
  <c r="AS8" i="28"/>
  <c r="AS29" i="28"/>
  <c r="X9" i="16"/>
  <c r="AM5" i="28"/>
  <c r="AO5" i="28"/>
  <c r="BG69" i="42"/>
  <c r="AQ5" i="28"/>
  <c r="BI69" i="42"/>
  <c r="AF5" i="28"/>
  <c r="AX69" i="42"/>
  <c r="O5" i="15"/>
  <c r="O12" i="15"/>
  <c r="X9" i="15"/>
  <c r="L9" i="15"/>
  <c r="L12" i="15"/>
  <c r="F5" i="15"/>
  <c r="O5" i="14"/>
  <c r="F5" i="14"/>
  <c r="F12" i="14"/>
  <c r="M1" i="42"/>
  <c r="AE5" i="28"/>
  <c r="AW69" i="42"/>
  <c r="X5" i="14"/>
  <c r="X12" i="14"/>
  <c r="AL9" i="28"/>
  <c r="O5" i="16"/>
  <c r="U9" i="14"/>
  <c r="U12" i="14"/>
  <c r="AL36" i="28"/>
  <c r="AL26" i="28"/>
  <c r="AL20" i="28"/>
  <c r="AL23" i="28"/>
  <c r="AL34" i="28"/>
  <c r="AL8" i="28"/>
  <c r="AL21" i="28"/>
  <c r="AL6" i="28"/>
  <c r="L6" i="28"/>
  <c r="AL28" i="28"/>
  <c r="L28" i="28"/>
  <c r="AL12" i="28"/>
  <c r="L12" i="28"/>
  <c r="AL31" i="28"/>
  <c r="AL10" i="28"/>
  <c r="AL16" i="28"/>
  <c r="AL32" i="28"/>
  <c r="AL22" i="28"/>
  <c r="AL18" i="28"/>
  <c r="AL27" i="28"/>
  <c r="AL30" i="28"/>
  <c r="AL19" i="28"/>
  <c r="AL17" i="28"/>
  <c r="L17" i="28"/>
  <c r="AL11" i="28"/>
  <c r="AL15" i="28"/>
  <c r="AS9" i="28"/>
  <c r="AS19" i="28"/>
  <c r="AB5" i="28"/>
  <c r="AL24" i="28"/>
  <c r="L24" i="28"/>
  <c r="O9" i="16"/>
  <c r="AH7" i="28"/>
  <c r="AH30" i="28"/>
  <c r="AH32" i="28"/>
  <c r="AH16" i="28"/>
  <c r="L16" i="28"/>
  <c r="AH20" i="28"/>
  <c r="AH11" i="28"/>
  <c r="L11" i="28"/>
  <c r="AH6" i="28"/>
  <c r="AH33" i="28"/>
  <c r="L33" i="28"/>
  <c r="AH29" i="28"/>
  <c r="AH18" i="28"/>
  <c r="L18" i="28"/>
  <c r="AH21" i="28"/>
  <c r="AH13" i="28"/>
  <c r="L13" i="28"/>
  <c r="AH34" i="28"/>
  <c r="L34" i="28"/>
  <c r="AH8" i="28"/>
  <c r="L8" i="28"/>
  <c r="AH35" i="28"/>
  <c r="AH14" i="28"/>
  <c r="AH25" i="28"/>
  <c r="AH9" i="28"/>
  <c r="L9" i="28"/>
  <c r="AH22" i="28"/>
  <c r="AH27" i="28"/>
  <c r="L27" i="28"/>
  <c r="AH23" i="28"/>
  <c r="L23" i="28"/>
  <c r="AH26" i="28"/>
  <c r="L26" i="28"/>
  <c r="AH31" i="28"/>
  <c r="L31" i="28"/>
  <c r="AH19" i="28"/>
  <c r="AH15" i="28"/>
  <c r="L15" i="28"/>
  <c r="AH36" i="28"/>
  <c r="AJ5" i="28"/>
  <c r="BB69" i="42"/>
  <c r="R5" i="28"/>
  <c r="AJ69" i="42"/>
  <c r="L22" i="28"/>
  <c r="AL14" i="28"/>
  <c r="F16" i="28"/>
  <c r="AL13" i="28"/>
  <c r="X5" i="16"/>
  <c r="X12" i="16"/>
  <c r="U9" i="16"/>
  <c r="U5" i="16"/>
  <c r="U12" i="16"/>
  <c r="R5" i="16"/>
  <c r="R12" i="16"/>
  <c r="O6" i="14"/>
  <c r="N12" i="14"/>
  <c r="R12" i="14"/>
  <c r="R9" i="16"/>
  <c r="AS25" i="28"/>
  <c r="AS33" i="28"/>
  <c r="AL35" i="28"/>
  <c r="L35" i="28"/>
  <c r="T12" i="15"/>
  <c r="U10" i="15"/>
  <c r="U12" i="15"/>
  <c r="F10" i="15"/>
  <c r="E12" i="15"/>
  <c r="L9" i="14"/>
  <c r="L12" i="14"/>
  <c r="AS10" i="28"/>
  <c r="AL7" i="28"/>
  <c r="F9" i="16"/>
  <c r="F5" i="16"/>
  <c r="L19" i="28"/>
  <c r="L20" i="28"/>
  <c r="L29" i="28"/>
  <c r="L30" i="28"/>
  <c r="L36" i="28"/>
  <c r="AD25" i="28"/>
  <c r="AD5" i="28"/>
  <c r="AV69" i="42"/>
  <c r="L10" i="28"/>
  <c r="L7" i="28"/>
  <c r="E20" i="28"/>
  <c r="L21" i="28"/>
  <c r="E21" i="28"/>
  <c r="L32" i="28"/>
  <c r="L25" i="28"/>
  <c r="O12" i="16"/>
  <c r="F12" i="15"/>
  <c r="BE69" i="42"/>
  <c r="AS5" i="28"/>
  <c r="BK69" i="42"/>
  <c r="L14" i="28"/>
  <c r="AL5" i="28"/>
  <c r="BD69" i="42"/>
  <c r="O12" i="14"/>
  <c r="F12" i="16"/>
  <c r="AH5" i="28"/>
  <c r="E22" i="28"/>
  <c r="F22" i="28"/>
  <c r="AT69" i="42"/>
  <c r="X12" i="15"/>
  <c r="F20" i="28"/>
  <c r="E24" i="28"/>
  <c r="AZ69" i="42"/>
  <c r="E23" i="28"/>
  <c r="L5" i="28"/>
  <c r="C5" i="28"/>
  <c r="F23" i="28"/>
  <c r="F25" i="28"/>
  <c r="C22" i="28"/>
  <c r="C23" i="28"/>
  <c r="C20" i="28"/>
  <c r="C21" i="28"/>
  <c r="E5" i="28"/>
  <c r="E25" i="28"/>
  <c r="C24" i="28"/>
  <c r="C25" i="28"/>
  <c r="D20" i="28"/>
  <c r="D23" i="28"/>
  <c r="D25" i="28"/>
  <c r="BC60" i="44" l="1"/>
  <c r="BC48" i="44"/>
  <c r="BC36" i="44"/>
  <c r="BC24" i="44"/>
  <c r="BC12" i="44"/>
  <c r="M50" i="44"/>
  <c r="M37" i="44"/>
  <c r="M27" i="44"/>
  <c r="M14" i="44"/>
  <c r="M5" i="44"/>
  <c r="M61" i="44"/>
  <c r="M49" i="44"/>
  <c r="M26" i="44"/>
  <c r="M39" i="44"/>
  <c r="M35" i="44"/>
  <c r="M23" i="44"/>
  <c r="M11" i="44"/>
  <c r="BC40" i="44"/>
  <c r="BC34" i="44"/>
  <c r="BC22" i="44"/>
  <c r="M45" i="44"/>
  <c r="M10" i="44"/>
  <c r="M56" i="44"/>
  <c r="M44" i="44"/>
  <c r="M33" i="44"/>
  <c r="M21" i="44"/>
  <c r="M9" i="44"/>
  <c r="BC8" i="44"/>
  <c r="M51" i="44"/>
  <c r="M3" i="44"/>
  <c r="M57" i="44"/>
  <c r="M41" i="44"/>
  <c r="M25" i="44"/>
  <c r="M58" i="44"/>
  <c r="BC38" i="44"/>
  <c r="M16" i="44"/>
  <c r="M63" i="44"/>
  <c r="M47" i="44"/>
  <c r="M31" i="44"/>
  <c r="M15" i="44"/>
  <c r="M62" i="44"/>
  <c r="M46" i="44"/>
  <c r="M30" i="44"/>
  <c r="BC52" i="44"/>
  <c r="BC20" i="44"/>
  <c r="M13" i="44"/>
</calcChain>
</file>

<file path=xl/comments1.xml><?xml version="1.0" encoding="utf-8"?>
<comments xmlns="http://schemas.openxmlformats.org/spreadsheetml/2006/main">
  <authors>
    <author>Author</author>
  </authors>
  <commentList>
    <comment ref="D6" authorId="0" shapeId="0">
      <text>
        <r>
          <rPr>
            <b/>
            <sz val="9"/>
            <color indexed="8"/>
            <rFont val="Tahoma"/>
            <family val="2"/>
          </rPr>
          <t>Author:</t>
        </r>
        <r>
          <rPr>
            <sz val="9"/>
            <color indexed="8"/>
            <rFont val="Tahoma"/>
            <family val="2"/>
          </rPr>
          <t xml:space="preserve">
3 nv</t>
        </r>
      </text>
    </comment>
    <comment ref="S6" authorId="0" shapeId="0">
      <text>
        <r>
          <rPr>
            <b/>
            <sz val="9"/>
            <color indexed="8"/>
            <rFont val="Tahoma"/>
            <family val="2"/>
          </rPr>
          <t>Author:</t>
        </r>
        <r>
          <rPr>
            <sz val="9"/>
            <color indexed="8"/>
            <rFont val="Tahoma"/>
            <family val="2"/>
          </rPr>
          <t xml:space="preserve">
7nv</t>
        </r>
      </text>
    </comment>
    <comment ref="V6" authorId="0" shapeId="0">
      <text>
        <r>
          <rPr>
            <b/>
            <sz val="9"/>
            <color indexed="8"/>
            <rFont val="Tahoma"/>
            <family val="2"/>
          </rPr>
          <t>Author:</t>
        </r>
        <r>
          <rPr>
            <sz val="9"/>
            <color indexed="8"/>
            <rFont val="Tahoma"/>
            <family val="2"/>
          </rPr>
          <t xml:space="preserve">
7nv</t>
        </r>
      </text>
    </comment>
    <comment ref="D7" authorId="0" shapeId="0">
      <text>
        <r>
          <rPr>
            <b/>
            <sz val="9"/>
            <color indexed="8"/>
            <rFont val="Tahoma"/>
            <family val="2"/>
          </rPr>
          <t>Author:</t>
        </r>
        <r>
          <rPr>
            <sz val="9"/>
            <color indexed="8"/>
            <rFont val="Tahoma"/>
            <family val="2"/>
          </rPr>
          <t xml:space="preserve">
3 nv</t>
        </r>
      </text>
    </comment>
    <comment ref="S7" authorId="0" shapeId="0">
      <text>
        <r>
          <rPr>
            <b/>
            <sz val="9"/>
            <color indexed="8"/>
            <rFont val="Tahoma"/>
            <family val="2"/>
          </rPr>
          <t>Author:</t>
        </r>
        <r>
          <rPr>
            <sz val="9"/>
            <color indexed="8"/>
            <rFont val="Tahoma"/>
            <family val="2"/>
          </rPr>
          <t xml:space="preserve">
6nv</t>
        </r>
      </text>
    </comment>
    <comment ref="V7" authorId="0" shapeId="0">
      <text>
        <r>
          <rPr>
            <b/>
            <sz val="9"/>
            <color indexed="8"/>
            <rFont val="Tahoma"/>
            <family val="2"/>
          </rPr>
          <t>Author:</t>
        </r>
        <r>
          <rPr>
            <sz val="9"/>
            <color indexed="8"/>
            <rFont val="Tahoma"/>
            <family val="2"/>
          </rPr>
          <t xml:space="preserve">
6nv</t>
        </r>
      </text>
    </comment>
    <comment ref="D10" authorId="0" shapeId="0">
      <text>
        <r>
          <rPr>
            <b/>
            <sz val="9"/>
            <color indexed="8"/>
            <rFont val="Tahoma"/>
            <family val="2"/>
          </rPr>
          <t>Author:</t>
        </r>
        <r>
          <rPr>
            <sz val="9"/>
            <color indexed="8"/>
            <rFont val="Tahoma"/>
            <family val="2"/>
          </rPr>
          <t xml:space="preserve">
3 nv</t>
        </r>
      </text>
    </comment>
    <comment ref="G10" authorId="0" shapeId="0">
      <text>
        <r>
          <rPr>
            <b/>
            <sz val="9"/>
            <color indexed="8"/>
            <rFont val="Tahoma"/>
            <family val="2"/>
          </rPr>
          <t>Author:</t>
        </r>
        <r>
          <rPr>
            <sz val="9"/>
            <color indexed="8"/>
            <rFont val="Tahoma"/>
            <family val="2"/>
          </rPr>
          <t xml:space="preserve">
3 nv</t>
        </r>
      </text>
    </comment>
    <comment ref="J10" authorId="0" shapeId="0">
      <text>
        <r>
          <rPr>
            <b/>
            <sz val="9"/>
            <color indexed="8"/>
            <rFont val="Tahoma"/>
            <family val="2"/>
          </rPr>
          <t>Author:</t>
        </r>
        <r>
          <rPr>
            <sz val="9"/>
            <color indexed="8"/>
            <rFont val="Tahoma"/>
            <family val="2"/>
          </rPr>
          <t xml:space="preserve">
3 nv</t>
        </r>
      </text>
    </comment>
    <comment ref="M10" authorId="0" shapeId="0">
      <text>
        <r>
          <rPr>
            <b/>
            <sz val="9"/>
            <color indexed="8"/>
            <rFont val="Tahoma"/>
            <family val="2"/>
          </rPr>
          <t>Author:</t>
        </r>
        <r>
          <rPr>
            <sz val="9"/>
            <color indexed="8"/>
            <rFont val="Tahoma"/>
            <family val="2"/>
          </rPr>
          <t xml:space="preserve">
4 nv</t>
        </r>
      </text>
    </comment>
    <comment ref="P10" authorId="0" shapeId="0">
      <text>
        <r>
          <rPr>
            <b/>
            <sz val="9"/>
            <color indexed="8"/>
            <rFont val="Tahoma"/>
            <family val="2"/>
          </rPr>
          <t>Author:</t>
        </r>
        <r>
          <rPr>
            <sz val="9"/>
            <color indexed="8"/>
            <rFont val="Tahoma"/>
            <family val="2"/>
          </rPr>
          <t xml:space="preserve">
4 nv</t>
        </r>
      </text>
    </comment>
    <comment ref="S10" authorId="0" shapeId="0">
      <text>
        <r>
          <rPr>
            <b/>
            <sz val="9"/>
            <color indexed="8"/>
            <rFont val="Tahoma"/>
            <family val="2"/>
          </rPr>
          <t>Author:</t>
        </r>
        <r>
          <rPr>
            <sz val="9"/>
            <color indexed="8"/>
            <rFont val="Tahoma"/>
            <family val="2"/>
          </rPr>
          <t xml:space="preserve">
7 nv</t>
        </r>
      </text>
    </comment>
    <comment ref="V10" authorId="0" shapeId="0">
      <text>
        <r>
          <rPr>
            <b/>
            <sz val="9"/>
            <color indexed="8"/>
            <rFont val="Tahoma"/>
            <family val="2"/>
          </rPr>
          <t>Author:</t>
        </r>
        <r>
          <rPr>
            <sz val="9"/>
            <color indexed="8"/>
            <rFont val="Tahoma"/>
            <family val="2"/>
          </rPr>
          <t xml:space="preserve">
7 nv</t>
        </r>
      </text>
    </comment>
    <comment ref="D11" authorId="0" shapeId="0">
      <text>
        <r>
          <rPr>
            <b/>
            <sz val="9"/>
            <color indexed="8"/>
            <rFont val="Tahoma"/>
            <family val="2"/>
          </rPr>
          <t>Author:</t>
        </r>
        <r>
          <rPr>
            <sz val="9"/>
            <color indexed="8"/>
            <rFont val="Tahoma"/>
            <family val="2"/>
          </rPr>
          <t xml:space="preserve">
4 nv</t>
        </r>
      </text>
    </comment>
    <comment ref="G11" authorId="0" shapeId="0">
      <text>
        <r>
          <rPr>
            <b/>
            <sz val="9"/>
            <color indexed="8"/>
            <rFont val="Tahoma"/>
            <family val="2"/>
          </rPr>
          <t>Author:</t>
        </r>
        <r>
          <rPr>
            <sz val="9"/>
            <color indexed="8"/>
            <rFont val="Tahoma"/>
            <family val="2"/>
          </rPr>
          <t xml:space="preserve">
4 nv</t>
        </r>
      </text>
    </comment>
    <comment ref="J11" authorId="0" shapeId="0">
      <text>
        <r>
          <rPr>
            <b/>
            <sz val="9"/>
            <color indexed="8"/>
            <rFont val="Tahoma"/>
            <family val="2"/>
          </rPr>
          <t>Author:</t>
        </r>
        <r>
          <rPr>
            <sz val="9"/>
            <color indexed="8"/>
            <rFont val="Tahoma"/>
            <family val="2"/>
          </rPr>
          <t xml:space="preserve">
4 nv</t>
        </r>
      </text>
    </comment>
    <comment ref="M11" authorId="0" shapeId="0">
      <text>
        <r>
          <rPr>
            <b/>
            <sz val="9"/>
            <color indexed="8"/>
            <rFont val="Tahoma"/>
            <family val="2"/>
          </rPr>
          <t>Author:</t>
        </r>
        <r>
          <rPr>
            <sz val="9"/>
            <color indexed="8"/>
            <rFont val="Tahoma"/>
            <family val="2"/>
          </rPr>
          <t xml:space="preserve">
4 nv</t>
        </r>
      </text>
    </comment>
    <comment ref="P11" authorId="0" shapeId="0">
      <text>
        <r>
          <rPr>
            <b/>
            <sz val="9"/>
            <color indexed="8"/>
            <rFont val="Tahoma"/>
            <family val="2"/>
          </rPr>
          <t>Author:</t>
        </r>
        <r>
          <rPr>
            <sz val="9"/>
            <color indexed="8"/>
            <rFont val="Tahoma"/>
            <family val="2"/>
          </rPr>
          <t xml:space="preserve">
5 nv</t>
        </r>
      </text>
    </comment>
    <comment ref="S11" authorId="0" shapeId="0">
      <text>
        <r>
          <rPr>
            <b/>
            <sz val="9"/>
            <color indexed="8"/>
            <rFont val="Tahoma"/>
            <family val="2"/>
          </rPr>
          <t>Author:</t>
        </r>
        <r>
          <rPr>
            <sz val="9"/>
            <color indexed="8"/>
            <rFont val="Tahoma"/>
            <family val="2"/>
          </rPr>
          <t xml:space="preserve">
6 nv</t>
        </r>
      </text>
    </comment>
    <comment ref="V11" authorId="0" shapeId="0">
      <text>
        <r>
          <rPr>
            <b/>
            <sz val="9"/>
            <color indexed="8"/>
            <rFont val="Tahoma"/>
            <family val="2"/>
          </rPr>
          <t>Author:</t>
        </r>
        <r>
          <rPr>
            <sz val="9"/>
            <color indexed="8"/>
            <rFont val="Tahoma"/>
            <family val="2"/>
          </rPr>
          <t xml:space="preserve">
6 nv</t>
        </r>
      </text>
    </comment>
  </commentList>
</comments>
</file>

<file path=xl/comments2.xml><?xml version="1.0" encoding="utf-8"?>
<comments xmlns="http://schemas.openxmlformats.org/spreadsheetml/2006/main">
  <authors>
    <author>Author</author>
  </authors>
  <commentList>
    <comment ref="D6" authorId="0" shapeId="0">
      <text>
        <r>
          <rPr>
            <b/>
            <sz val="9"/>
            <color indexed="8"/>
            <rFont val="Tahoma"/>
            <family val="2"/>
          </rPr>
          <t>Author:</t>
        </r>
        <r>
          <rPr>
            <sz val="9"/>
            <color indexed="8"/>
            <rFont val="Tahoma"/>
            <family val="2"/>
          </rPr>
          <t xml:space="preserve">
3 nv</t>
        </r>
      </text>
    </comment>
    <comment ref="S6" authorId="0" shapeId="0">
      <text>
        <r>
          <rPr>
            <b/>
            <sz val="9"/>
            <color indexed="8"/>
            <rFont val="Tahoma"/>
            <family val="2"/>
          </rPr>
          <t>Author:</t>
        </r>
        <r>
          <rPr>
            <sz val="9"/>
            <color indexed="8"/>
            <rFont val="Tahoma"/>
            <family val="2"/>
          </rPr>
          <t xml:space="preserve">
6nv</t>
        </r>
      </text>
    </comment>
    <comment ref="V6" authorId="0" shapeId="0">
      <text>
        <r>
          <rPr>
            <b/>
            <sz val="9"/>
            <color indexed="8"/>
            <rFont val="Tahoma"/>
            <family val="2"/>
          </rPr>
          <t>Author:</t>
        </r>
        <r>
          <rPr>
            <sz val="9"/>
            <color indexed="8"/>
            <rFont val="Tahoma"/>
            <family val="2"/>
          </rPr>
          <t xml:space="preserve">
6nv</t>
        </r>
      </text>
    </comment>
    <comment ref="D7" authorId="0" shapeId="0">
      <text>
        <r>
          <rPr>
            <b/>
            <sz val="9"/>
            <color indexed="8"/>
            <rFont val="Tahoma"/>
            <family val="2"/>
          </rPr>
          <t>Author:</t>
        </r>
        <r>
          <rPr>
            <sz val="9"/>
            <color indexed="8"/>
            <rFont val="Tahoma"/>
            <family val="2"/>
          </rPr>
          <t xml:space="preserve">
3 nv</t>
        </r>
      </text>
    </comment>
    <comment ref="S7" authorId="0" shapeId="0">
      <text>
        <r>
          <rPr>
            <b/>
            <sz val="9"/>
            <color indexed="8"/>
            <rFont val="Tahoma"/>
            <family val="2"/>
          </rPr>
          <t>Author:</t>
        </r>
        <r>
          <rPr>
            <sz val="9"/>
            <color indexed="8"/>
            <rFont val="Tahoma"/>
            <family val="2"/>
          </rPr>
          <t xml:space="preserve">
6nv</t>
        </r>
      </text>
    </comment>
    <comment ref="V7" authorId="0" shapeId="0">
      <text>
        <r>
          <rPr>
            <b/>
            <sz val="9"/>
            <color indexed="8"/>
            <rFont val="Tahoma"/>
            <family val="2"/>
          </rPr>
          <t>Author:</t>
        </r>
        <r>
          <rPr>
            <sz val="9"/>
            <color indexed="8"/>
            <rFont val="Tahoma"/>
            <family val="2"/>
          </rPr>
          <t xml:space="preserve">
6nv</t>
        </r>
      </text>
    </comment>
    <comment ref="D10" authorId="0" shapeId="0">
      <text>
        <r>
          <rPr>
            <b/>
            <sz val="9"/>
            <color indexed="8"/>
            <rFont val="Tahoma"/>
            <family val="2"/>
          </rPr>
          <t>Author:</t>
        </r>
        <r>
          <rPr>
            <sz val="9"/>
            <color indexed="8"/>
            <rFont val="Tahoma"/>
            <family val="2"/>
          </rPr>
          <t xml:space="preserve">
3 nv</t>
        </r>
      </text>
    </comment>
    <comment ref="G10" authorId="0" shapeId="0">
      <text>
        <r>
          <rPr>
            <b/>
            <sz val="9"/>
            <color indexed="8"/>
            <rFont val="Tahoma"/>
            <family val="2"/>
          </rPr>
          <t>Author:</t>
        </r>
        <r>
          <rPr>
            <sz val="9"/>
            <color indexed="8"/>
            <rFont val="Tahoma"/>
            <family val="2"/>
          </rPr>
          <t xml:space="preserve">
3 nv</t>
        </r>
      </text>
    </comment>
    <comment ref="J10" authorId="0" shapeId="0">
      <text>
        <r>
          <rPr>
            <b/>
            <sz val="9"/>
            <color indexed="8"/>
            <rFont val="Tahoma"/>
            <family val="2"/>
          </rPr>
          <t>Author:</t>
        </r>
        <r>
          <rPr>
            <sz val="9"/>
            <color indexed="8"/>
            <rFont val="Tahoma"/>
            <family val="2"/>
          </rPr>
          <t xml:space="preserve">
3 nv</t>
        </r>
      </text>
    </comment>
    <comment ref="M10" authorId="0" shapeId="0">
      <text>
        <r>
          <rPr>
            <b/>
            <sz val="9"/>
            <color indexed="8"/>
            <rFont val="Tahoma"/>
            <family val="2"/>
          </rPr>
          <t>Author:</t>
        </r>
        <r>
          <rPr>
            <sz val="9"/>
            <color indexed="8"/>
            <rFont val="Tahoma"/>
            <family val="2"/>
          </rPr>
          <t xml:space="preserve">
3 nv</t>
        </r>
      </text>
    </comment>
    <comment ref="P10" authorId="0" shapeId="0">
      <text>
        <r>
          <rPr>
            <b/>
            <sz val="9"/>
            <color indexed="8"/>
            <rFont val="Tahoma"/>
            <family val="2"/>
          </rPr>
          <t>Author:</t>
        </r>
        <r>
          <rPr>
            <sz val="9"/>
            <color indexed="8"/>
            <rFont val="Tahoma"/>
            <family val="2"/>
          </rPr>
          <t xml:space="preserve">
4 nv</t>
        </r>
      </text>
    </comment>
    <comment ref="S10" authorId="0" shapeId="0">
      <text>
        <r>
          <rPr>
            <b/>
            <sz val="9"/>
            <color indexed="8"/>
            <rFont val="Tahoma"/>
            <family val="2"/>
          </rPr>
          <t>Author:</t>
        </r>
        <r>
          <rPr>
            <sz val="9"/>
            <color indexed="8"/>
            <rFont val="Tahoma"/>
            <family val="2"/>
          </rPr>
          <t xml:space="preserve">
6 nv</t>
        </r>
      </text>
    </comment>
    <comment ref="V10" authorId="0" shapeId="0">
      <text>
        <r>
          <rPr>
            <b/>
            <sz val="9"/>
            <color indexed="8"/>
            <rFont val="Tahoma"/>
            <family val="2"/>
          </rPr>
          <t>Author:</t>
        </r>
        <r>
          <rPr>
            <sz val="9"/>
            <color indexed="8"/>
            <rFont val="Tahoma"/>
            <family val="2"/>
          </rPr>
          <t xml:space="preserve">
6 nv</t>
        </r>
      </text>
    </comment>
    <comment ref="D11" authorId="0" shapeId="0">
      <text>
        <r>
          <rPr>
            <b/>
            <sz val="9"/>
            <color indexed="8"/>
            <rFont val="Tahoma"/>
            <family val="2"/>
          </rPr>
          <t>Author:</t>
        </r>
        <r>
          <rPr>
            <sz val="9"/>
            <color indexed="8"/>
            <rFont val="Tahoma"/>
            <family val="2"/>
          </rPr>
          <t xml:space="preserve">
4 nv</t>
        </r>
      </text>
    </comment>
    <comment ref="G11" authorId="0" shapeId="0">
      <text>
        <r>
          <rPr>
            <b/>
            <sz val="9"/>
            <color indexed="8"/>
            <rFont val="Tahoma"/>
            <family val="2"/>
          </rPr>
          <t>Author:</t>
        </r>
        <r>
          <rPr>
            <sz val="9"/>
            <color indexed="8"/>
            <rFont val="Tahoma"/>
            <family val="2"/>
          </rPr>
          <t xml:space="preserve">
4 nv</t>
        </r>
      </text>
    </comment>
    <comment ref="J11" authorId="0" shapeId="0">
      <text>
        <r>
          <rPr>
            <b/>
            <sz val="9"/>
            <color indexed="8"/>
            <rFont val="Tahoma"/>
            <family val="2"/>
          </rPr>
          <t>Author:</t>
        </r>
        <r>
          <rPr>
            <sz val="9"/>
            <color indexed="8"/>
            <rFont val="Tahoma"/>
            <family val="2"/>
          </rPr>
          <t xml:space="preserve">
4 nv</t>
        </r>
      </text>
    </comment>
    <comment ref="M11" authorId="0" shapeId="0">
      <text>
        <r>
          <rPr>
            <b/>
            <sz val="9"/>
            <color indexed="8"/>
            <rFont val="Tahoma"/>
            <family val="2"/>
          </rPr>
          <t>Author:</t>
        </r>
        <r>
          <rPr>
            <sz val="9"/>
            <color indexed="8"/>
            <rFont val="Tahoma"/>
            <family val="2"/>
          </rPr>
          <t xml:space="preserve">
4 nv</t>
        </r>
      </text>
    </comment>
    <comment ref="P11" authorId="0" shapeId="0">
      <text>
        <r>
          <rPr>
            <b/>
            <sz val="9"/>
            <color indexed="8"/>
            <rFont val="Tahoma"/>
            <family val="2"/>
          </rPr>
          <t>Author:</t>
        </r>
        <r>
          <rPr>
            <sz val="9"/>
            <color indexed="8"/>
            <rFont val="Tahoma"/>
            <family val="2"/>
          </rPr>
          <t xml:space="preserve">
4 nv</t>
        </r>
      </text>
    </comment>
    <comment ref="S11" authorId="0" shapeId="0">
      <text>
        <r>
          <rPr>
            <b/>
            <sz val="9"/>
            <color indexed="8"/>
            <rFont val="Tahoma"/>
            <family val="2"/>
          </rPr>
          <t>Author:</t>
        </r>
        <r>
          <rPr>
            <sz val="9"/>
            <color indexed="8"/>
            <rFont val="Tahoma"/>
            <family val="2"/>
          </rPr>
          <t xml:space="preserve">
6 nv</t>
        </r>
      </text>
    </comment>
    <comment ref="V11" authorId="0" shapeId="0">
      <text>
        <r>
          <rPr>
            <b/>
            <sz val="9"/>
            <color indexed="8"/>
            <rFont val="Tahoma"/>
            <family val="2"/>
          </rPr>
          <t>Author:</t>
        </r>
        <r>
          <rPr>
            <sz val="9"/>
            <color indexed="8"/>
            <rFont val="Tahoma"/>
            <family val="2"/>
          </rPr>
          <t xml:space="preserve">
6 nv</t>
        </r>
      </text>
    </comment>
  </commentList>
</comments>
</file>

<file path=xl/comments3.xml><?xml version="1.0" encoding="utf-8"?>
<comments xmlns="http://schemas.openxmlformats.org/spreadsheetml/2006/main">
  <authors>
    <author>Author</author>
  </authors>
  <commentList>
    <comment ref="D6" authorId="0" shapeId="0">
      <text>
        <r>
          <rPr>
            <b/>
            <sz val="9"/>
            <color indexed="8"/>
            <rFont val="Tahoma"/>
            <family val="2"/>
          </rPr>
          <t>Author:</t>
        </r>
        <r>
          <rPr>
            <sz val="9"/>
            <color indexed="8"/>
            <rFont val="Tahoma"/>
            <family val="2"/>
          </rPr>
          <t xml:space="preserve">
3 nv</t>
        </r>
      </text>
    </comment>
    <comment ref="P6" authorId="0" shapeId="0">
      <text>
        <r>
          <rPr>
            <b/>
            <sz val="9"/>
            <color indexed="8"/>
            <rFont val="Tahoma"/>
            <family val="2"/>
          </rPr>
          <t>Author:</t>
        </r>
        <r>
          <rPr>
            <sz val="9"/>
            <color indexed="8"/>
            <rFont val="Tahoma"/>
            <family val="2"/>
          </rPr>
          <t xml:space="preserve">
4 nv</t>
        </r>
      </text>
    </comment>
    <comment ref="S6" authorId="0" shapeId="0">
      <text>
        <r>
          <rPr>
            <b/>
            <sz val="9"/>
            <color indexed="8"/>
            <rFont val="Tahoma"/>
            <family val="2"/>
          </rPr>
          <t>Author:</t>
        </r>
        <r>
          <rPr>
            <sz val="9"/>
            <color indexed="8"/>
            <rFont val="Tahoma"/>
            <family val="2"/>
          </rPr>
          <t xml:space="preserve">
7nv</t>
        </r>
      </text>
    </comment>
    <comment ref="V6" authorId="0" shapeId="0">
      <text>
        <r>
          <rPr>
            <b/>
            <sz val="9"/>
            <color indexed="8"/>
            <rFont val="Tahoma"/>
            <family val="2"/>
          </rPr>
          <t>Author:</t>
        </r>
        <r>
          <rPr>
            <sz val="9"/>
            <color indexed="8"/>
            <rFont val="Tahoma"/>
            <family val="2"/>
          </rPr>
          <t xml:space="preserve">
7nv</t>
        </r>
      </text>
    </comment>
    <comment ref="D7" authorId="0" shapeId="0">
      <text>
        <r>
          <rPr>
            <b/>
            <sz val="9"/>
            <color indexed="8"/>
            <rFont val="Tahoma"/>
            <family val="2"/>
          </rPr>
          <t>Author:</t>
        </r>
        <r>
          <rPr>
            <sz val="9"/>
            <color indexed="8"/>
            <rFont val="Tahoma"/>
            <family val="2"/>
          </rPr>
          <t xml:space="preserve">
3 nv</t>
        </r>
      </text>
    </comment>
    <comment ref="P7" authorId="0" shapeId="0">
      <text>
        <r>
          <rPr>
            <b/>
            <sz val="9"/>
            <color indexed="8"/>
            <rFont val="Tahoma"/>
            <family val="2"/>
          </rPr>
          <t>Author:</t>
        </r>
        <r>
          <rPr>
            <sz val="9"/>
            <color indexed="8"/>
            <rFont val="Tahoma"/>
            <family val="2"/>
          </rPr>
          <t xml:space="preserve">
4 nv</t>
        </r>
      </text>
    </comment>
    <comment ref="S7" authorId="0" shapeId="0">
      <text>
        <r>
          <rPr>
            <b/>
            <sz val="9"/>
            <color indexed="8"/>
            <rFont val="Tahoma"/>
            <family val="2"/>
          </rPr>
          <t>Author:</t>
        </r>
        <r>
          <rPr>
            <sz val="9"/>
            <color indexed="8"/>
            <rFont val="Tahoma"/>
            <family val="2"/>
          </rPr>
          <t xml:space="preserve">
6nv</t>
        </r>
      </text>
    </comment>
    <comment ref="V7" authorId="0" shapeId="0">
      <text>
        <r>
          <rPr>
            <b/>
            <sz val="9"/>
            <color indexed="8"/>
            <rFont val="Tahoma"/>
            <family val="2"/>
          </rPr>
          <t>Author:</t>
        </r>
        <r>
          <rPr>
            <sz val="9"/>
            <color indexed="8"/>
            <rFont val="Tahoma"/>
            <family val="2"/>
          </rPr>
          <t xml:space="preserve">
6nv</t>
        </r>
      </text>
    </comment>
    <comment ref="D10" authorId="0" shapeId="0">
      <text>
        <r>
          <rPr>
            <b/>
            <sz val="9"/>
            <color indexed="8"/>
            <rFont val="Tahoma"/>
            <family val="2"/>
          </rPr>
          <t>Author:</t>
        </r>
        <r>
          <rPr>
            <sz val="9"/>
            <color indexed="8"/>
            <rFont val="Tahoma"/>
            <family val="2"/>
          </rPr>
          <t xml:space="preserve">
4 nv</t>
        </r>
      </text>
    </comment>
    <comment ref="G10" authorId="0" shapeId="0">
      <text>
        <r>
          <rPr>
            <b/>
            <sz val="9"/>
            <color indexed="8"/>
            <rFont val="Tahoma"/>
            <family val="2"/>
          </rPr>
          <t>Author:</t>
        </r>
        <r>
          <rPr>
            <sz val="9"/>
            <color indexed="8"/>
            <rFont val="Tahoma"/>
            <family val="2"/>
          </rPr>
          <t xml:space="preserve">
4 nv</t>
        </r>
      </text>
    </comment>
    <comment ref="J10" authorId="0" shapeId="0">
      <text>
        <r>
          <rPr>
            <b/>
            <sz val="9"/>
            <color indexed="8"/>
            <rFont val="Tahoma"/>
            <family val="2"/>
          </rPr>
          <t>Author:</t>
        </r>
        <r>
          <rPr>
            <sz val="9"/>
            <color indexed="8"/>
            <rFont val="Tahoma"/>
            <family val="2"/>
          </rPr>
          <t xml:space="preserve">
4 nv</t>
        </r>
      </text>
    </comment>
    <comment ref="M10" authorId="0" shapeId="0">
      <text>
        <r>
          <rPr>
            <b/>
            <sz val="9"/>
            <color indexed="8"/>
            <rFont val="Tahoma"/>
            <family val="2"/>
          </rPr>
          <t>Author:</t>
        </r>
        <r>
          <rPr>
            <sz val="9"/>
            <color indexed="8"/>
            <rFont val="Tahoma"/>
            <family val="2"/>
          </rPr>
          <t xml:space="preserve">
4 nv</t>
        </r>
      </text>
    </comment>
    <comment ref="P10" authorId="0" shapeId="0">
      <text>
        <r>
          <rPr>
            <b/>
            <sz val="9"/>
            <color indexed="8"/>
            <rFont val="Tahoma"/>
            <family val="2"/>
          </rPr>
          <t>Author:</t>
        </r>
        <r>
          <rPr>
            <sz val="9"/>
            <color indexed="8"/>
            <rFont val="Tahoma"/>
            <family val="2"/>
          </rPr>
          <t xml:space="preserve">
4 nv</t>
        </r>
      </text>
    </comment>
    <comment ref="S10" authorId="0" shapeId="0">
      <text>
        <r>
          <rPr>
            <b/>
            <sz val="9"/>
            <color indexed="8"/>
            <rFont val="Tahoma"/>
            <family val="2"/>
          </rPr>
          <t>Author:</t>
        </r>
        <r>
          <rPr>
            <sz val="9"/>
            <color indexed="8"/>
            <rFont val="Tahoma"/>
            <family val="2"/>
          </rPr>
          <t xml:space="preserve">
7 nv</t>
        </r>
      </text>
    </comment>
    <comment ref="V10" authorId="0" shapeId="0">
      <text>
        <r>
          <rPr>
            <b/>
            <sz val="9"/>
            <color indexed="8"/>
            <rFont val="Tahoma"/>
            <family val="2"/>
          </rPr>
          <t>Author:</t>
        </r>
        <r>
          <rPr>
            <sz val="9"/>
            <color indexed="8"/>
            <rFont val="Tahoma"/>
            <family val="2"/>
          </rPr>
          <t xml:space="preserve">
7 nv</t>
        </r>
      </text>
    </comment>
    <comment ref="D11" authorId="0" shapeId="0">
      <text>
        <r>
          <rPr>
            <b/>
            <sz val="9"/>
            <color indexed="8"/>
            <rFont val="Tahoma"/>
            <family val="2"/>
          </rPr>
          <t>Author:</t>
        </r>
        <r>
          <rPr>
            <sz val="9"/>
            <color indexed="8"/>
            <rFont val="Tahoma"/>
            <family val="2"/>
          </rPr>
          <t xml:space="preserve">
4 nv</t>
        </r>
      </text>
    </comment>
    <comment ref="G11" authorId="0" shapeId="0">
      <text>
        <r>
          <rPr>
            <b/>
            <sz val="9"/>
            <color indexed="8"/>
            <rFont val="Tahoma"/>
            <family val="2"/>
          </rPr>
          <t>Author:</t>
        </r>
        <r>
          <rPr>
            <sz val="9"/>
            <color indexed="8"/>
            <rFont val="Tahoma"/>
            <family val="2"/>
          </rPr>
          <t xml:space="preserve">
4 nv</t>
        </r>
      </text>
    </comment>
    <comment ref="J11" authorId="0" shapeId="0">
      <text>
        <r>
          <rPr>
            <b/>
            <sz val="9"/>
            <color indexed="8"/>
            <rFont val="Tahoma"/>
            <family val="2"/>
          </rPr>
          <t>Author:</t>
        </r>
        <r>
          <rPr>
            <sz val="9"/>
            <color indexed="8"/>
            <rFont val="Tahoma"/>
            <family val="2"/>
          </rPr>
          <t xml:space="preserve">
4 nv</t>
        </r>
      </text>
    </comment>
    <comment ref="M11" authorId="0" shapeId="0">
      <text>
        <r>
          <rPr>
            <b/>
            <sz val="9"/>
            <color indexed="8"/>
            <rFont val="Tahoma"/>
            <family val="2"/>
          </rPr>
          <t>Author:</t>
        </r>
        <r>
          <rPr>
            <sz val="9"/>
            <color indexed="8"/>
            <rFont val="Tahoma"/>
            <family val="2"/>
          </rPr>
          <t xml:space="preserve">
4 nv</t>
        </r>
      </text>
    </comment>
    <comment ref="P11" authorId="0" shapeId="0">
      <text>
        <r>
          <rPr>
            <b/>
            <sz val="9"/>
            <color indexed="8"/>
            <rFont val="Tahoma"/>
            <family val="2"/>
          </rPr>
          <t>Author:</t>
        </r>
        <r>
          <rPr>
            <sz val="9"/>
            <color indexed="8"/>
            <rFont val="Tahoma"/>
            <family val="2"/>
          </rPr>
          <t xml:space="preserve">
5 nv</t>
        </r>
      </text>
    </comment>
    <comment ref="S11" authorId="0" shapeId="0">
      <text>
        <r>
          <rPr>
            <b/>
            <sz val="9"/>
            <color indexed="8"/>
            <rFont val="Tahoma"/>
            <family val="2"/>
          </rPr>
          <t>Author:</t>
        </r>
        <r>
          <rPr>
            <sz val="9"/>
            <color indexed="8"/>
            <rFont val="Tahoma"/>
            <family val="2"/>
          </rPr>
          <t xml:space="preserve">
6 nv</t>
        </r>
      </text>
    </comment>
    <comment ref="V11" authorId="0" shapeId="0">
      <text>
        <r>
          <rPr>
            <b/>
            <sz val="9"/>
            <color indexed="8"/>
            <rFont val="Tahoma"/>
            <family val="2"/>
          </rPr>
          <t>Author:</t>
        </r>
        <r>
          <rPr>
            <sz val="9"/>
            <color indexed="8"/>
            <rFont val="Tahoma"/>
            <family val="2"/>
          </rPr>
          <t xml:space="preserve">
6 nv</t>
        </r>
      </text>
    </comment>
  </commentList>
</comments>
</file>

<file path=xl/comments4.xml><?xml version="1.0" encoding="utf-8"?>
<comments xmlns="http://schemas.openxmlformats.org/spreadsheetml/2006/main">
  <authors>
    <author>Author</author>
  </authors>
  <commentList>
    <comment ref="E1" authorId="0" shapeId="0">
      <text>
        <r>
          <rPr>
            <b/>
            <sz val="9"/>
            <color indexed="81"/>
            <rFont val="Tahoma"/>
            <family val="2"/>
          </rPr>
          <t>Author:</t>
        </r>
        <r>
          <rPr>
            <sz val="9"/>
            <color indexed="81"/>
            <rFont val="Tahoma"/>
            <family val="2"/>
          </rPr>
          <t xml:space="preserve">
Which type of labour can perform the activity</t>
        </r>
      </text>
    </comment>
    <comment ref="V10" authorId="0" shapeId="0">
      <text>
        <r>
          <rPr>
            <sz val="9"/>
            <color indexed="81"/>
            <rFont val="Tahoma"/>
            <family val="2"/>
          </rPr>
          <t>1BOH TMs (MOD support):
- 09.05 - 09.30 setup Make
- 09.30-09.55: setup Auxi                                                                 Dough/Rider:
- 09.15-9.30: set up Cut
- 09.30-09.45: set up Bar</t>
        </r>
      </text>
    </comment>
    <comment ref="V11" authorId="0" shapeId="0">
      <text>
        <r>
          <rPr>
            <sz val="9"/>
            <color indexed="81"/>
            <rFont val="Tahoma"/>
            <family val="2"/>
          </rPr>
          <t>1BOH TMs (MOD support):
- 09.05 - 09.30 setup Make
- 09.30-09.55: setup Auxi                                                                 Dough/Rider:
- 09.15-9.30: set up Cut
- 09.30-09.45: set up Bar</t>
        </r>
      </text>
    </comment>
    <comment ref="AK21" authorId="0" shapeId="0">
      <text>
        <r>
          <rPr>
            <b/>
            <sz val="9"/>
            <color indexed="81"/>
            <rFont val="Tahoma"/>
            <charset val="1"/>
          </rPr>
          <t>Author:</t>
        </r>
        <r>
          <rPr>
            <sz val="9"/>
            <color indexed="81"/>
            <rFont val="Tahoma"/>
            <charset val="1"/>
          </rPr>
          <t xml:space="preserve">
họp 5p x 6 người</t>
        </r>
      </text>
    </comment>
    <comment ref="V44" authorId="0" shapeId="0">
      <text>
        <r>
          <rPr>
            <sz val="9"/>
            <color indexed="81"/>
            <rFont val="Tahoma"/>
            <family val="2"/>
          </rPr>
          <t>1BOH TMs (MOD support):
- 09.05 - 09.30 setup Make
- 09.30-09.55: setup Auxi                                                                 Dough/Rider:
- 09.15-9.30: set up Cut
- 09.30-09.45: set up Bar</t>
        </r>
      </text>
    </comment>
    <comment ref="V45" authorId="0" shapeId="0">
      <text>
        <r>
          <rPr>
            <sz val="9"/>
            <color indexed="81"/>
            <rFont val="Tahoma"/>
            <family val="2"/>
          </rPr>
          <t>1BOH TMs (MOD support):
- 09.05 - 09.30 setup Make
- 09.30-09.55: setup Auxi                                                                 Dough/Rider:
- 09.15-9.30: set up Cut
- 09.30-09.45: set up Bar</t>
        </r>
      </text>
    </comment>
    <comment ref="AK47" authorId="0" shapeId="0">
      <text>
        <r>
          <rPr>
            <b/>
            <sz val="9"/>
            <color indexed="81"/>
            <rFont val="Tahoma"/>
            <charset val="1"/>
          </rPr>
          <t>Author:</t>
        </r>
        <r>
          <rPr>
            <sz val="9"/>
            <color indexed="81"/>
            <rFont val="Tahoma"/>
            <charset val="1"/>
          </rPr>
          <t xml:space="preserve">
họp 5p x 6 người</t>
        </r>
      </text>
    </comment>
  </commentList>
</comments>
</file>

<file path=xl/comments5.xml><?xml version="1.0" encoding="utf-8"?>
<comments xmlns="http://schemas.openxmlformats.org/spreadsheetml/2006/main">
  <authors>
    <author>Author</author>
  </authors>
  <commentList>
    <comment ref="Y5" authorId="0" shapeId="0">
      <text>
        <r>
          <rPr>
            <b/>
            <sz val="9"/>
            <color indexed="81"/>
            <rFont val="Tahoma"/>
            <family val="2"/>
          </rPr>
          <t>Author:</t>
        </r>
        <r>
          <rPr>
            <sz val="9"/>
            <color indexed="81"/>
            <rFont val="Tahoma"/>
            <family val="2"/>
          </rPr>
          <t xml:space="preserve">
How frequently does the activity happen weekly?</t>
        </r>
      </text>
    </comment>
    <comment ref="D6" authorId="0" shapeId="0">
      <text>
        <r>
          <rPr>
            <b/>
            <sz val="9"/>
            <color indexed="81"/>
            <rFont val="Tahoma"/>
            <family val="2"/>
          </rPr>
          <t>Author:</t>
        </r>
        <r>
          <rPr>
            <sz val="9"/>
            <color indexed="81"/>
            <rFont val="Tahoma"/>
            <family val="2"/>
          </rPr>
          <t xml:space="preserve">
Activities that cannot be performed without proper training</t>
        </r>
      </text>
    </comment>
    <comment ref="H6" authorId="0" shapeId="0">
      <text>
        <r>
          <rPr>
            <b/>
            <sz val="9"/>
            <color indexed="81"/>
            <rFont val="Tahoma"/>
            <family val="2"/>
          </rPr>
          <t>Author:</t>
        </r>
        <r>
          <rPr>
            <sz val="9"/>
            <color indexed="81"/>
            <rFont val="Tahoma"/>
            <family val="2"/>
          </rPr>
          <t xml:space="preserve">
Input on function or frequency if others are chosen in column B or E</t>
        </r>
      </text>
    </comment>
    <comment ref="I6" authorId="0" shapeId="0">
      <text>
        <r>
          <rPr>
            <b/>
            <sz val="9"/>
            <color indexed="81"/>
            <rFont val="Tahoma"/>
            <family val="2"/>
          </rPr>
          <t>Author:</t>
        </r>
        <r>
          <rPr>
            <sz val="9"/>
            <color indexed="81"/>
            <rFont val="Tahoma"/>
            <family val="2"/>
          </rPr>
          <t xml:space="preserve">
Which type of labour can perform the activity</t>
        </r>
      </text>
    </comment>
    <comment ref="O6" authorId="0" shapeId="0">
      <text>
        <r>
          <rPr>
            <b/>
            <sz val="9"/>
            <color indexed="81"/>
            <rFont val="Tahoma"/>
            <family val="2"/>
          </rPr>
          <t>Author:</t>
        </r>
        <r>
          <rPr>
            <sz val="9"/>
            <color indexed="81"/>
            <rFont val="Tahoma"/>
            <family val="2"/>
          </rPr>
          <t xml:space="preserve">
Can the activity be performed by FT/PT/Freelance?</t>
        </r>
      </text>
    </comment>
    <comment ref="Q6" authorId="0" shapeId="0">
      <text>
        <r>
          <rPr>
            <b/>
            <sz val="9"/>
            <color indexed="81"/>
            <rFont val="Tahoma"/>
            <family val="2"/>
          </rPr>
          <t>Author:</t>
        </r>
        <r>
          <rPr>
            <sz val="9"/>
            <color indexed="81"/>
            <rFont val="Tahoma"/>
            <family val="2"/>
          </rPr>
          <t xml:space="preserve">
What is the driver behind the activity?</t>
        </r>
      </text>
    </comment>
    <comment ref="R6" authorId="0" shapeId="0">
      <text>
        <r>
          <rPr>
            <b/>
            <sz val="9"/>
            <color indexed="81"/>
            <rFont val="Tahoma"/>
            <family val="2"/>
          </rPr>
          <t>Author:</t>
        </r>
        <r>
          <rPr>
            <sz val="9"/>
            <color indexed="81"/>
            <rFont val="Tahoma"/>
            <family val="2"/>
          </rPr>
          <t xml:space="preserve">
How often does the activity occur throughout the week?</t>
        </r>
      </text>
    </comment>
    <comment ref="AJ11" authorId="0" shapeId="0">
      <text>
        <r>
          <rPr>
            <sz val="9"/>
            <color indexed="81"/>
            <rFont val="Tahoma"/>
            <family val="2"/>
          </rPr>
          <t>1BOH TMs (MOD support):
- 09.05 - 09.30 setup Make
- 09.30-09.55: setup Auxi                                                                 Dough/Rider:
- 09.15-9.30: set up Cut
- 09.30-09.45: set up Bar</t>
        </r>
      </text>
    </comment>
    <comment ref="AY39" authorId="0" shapeId="0">
      <text>
        <r>
          <rPr>
            <b/>
            <sz val="9"/>
            <color indexed="81"/>
            <rFont val="Tahoma"/>
            <charset val="1"/>
          </rPr>
          <t>Author:</t>
        </r>
        <r>
          <rPr>
            <sz val="9"/>
            <color indexed="81"/>
            <rFont val="Tahoma"/>
            <charset val="1"/>
          </rPr>
          <t xml:space="preserve">
họp 5p x 6 người</t>
        </r>
      </text>
    </comment>
  </commentList>
</comments>
</file>

<file path=xl/comments6.xml><?xml version="1.0" encoding="utf-8"?>
<comments xmlns="http://schemas.openxmlformats.org/spreadsheetml/2006/main">
  <authors>
    <author>Author</author>
  </authors>
  <commentList>
    <comment ref="E5" authorId="0" shapeId="0">
      <text>
        <r>
          <rPr>
            <b/>
            <sz val="9"/>
            <color indexed="81"/>
            <rFont val="Tahoma"/>
            <family val="2"/>
            <charset val="163"/>
          </rPr>
          <t>Author:</t>
        </r>
        <r>
          <rPr>
            <sz val="9"/>
            <color indexed="81"/>
            <rFont val="Tahoma"/>
            <family val="2"/>
            <charset val="163"/>
          </rPr>
          <t xml:space="preserve">
số lượng 1 tháng sử dụng</t>
        </r>
      </text>
    </comment>
  </commentList>
</comments>
</file>

<file path=xl/sharedStrings.xml><?xml version="1.0" encoding="utf-8"?>
<sst xmlns="http://schemas.openxmlformats.org/spreadsheetml/2006/main" count="2422" uniqueCount="496">
  <si>
    <t>TIME</t>
  </si>
  <si>
    <t>Mon</t>
  </si>
  <si>
    <t>Tue</t>
  </si>
  <si>
    <t>Wed</t>
  </si>
  <si>
    <t>Thu</t>
  </si>
  <si>
    <t>Fri</t>
  </si>
  <si>
    <t>Sat</t>
  </si>
  <si>
    <t>Sun</t>
  </si>
  <si>
    <t>BOH</t>
  </si>
  <si>
    <t>ARM</t>
  </si>
  <si>
    <t>RGM</t>
  </si>
  <si>
    <t>FOH</t>
  </si>
  <si>
    <t>Lương</t>
  </si>
  <si>
    <t>SL</t>
  </si>
  <si>
    <t>Level</t>
  </si>
  <si>
    <t>2*</t>
  </si>
  <si>
    <t>1*</t>
  </si>
  <si>
    <t>TIMES CITY</t>
  </si>
  <si>
    <t>3*</t>
  </si>
  <si>
    <t>Store Name</t>
  </si>
  <si>
    <t>Day</t>
  </si>
  <si>
    <t xml:space="preserve">Base line
Labor hours </t>
  </si>
  <si>
    <t>Grand Total</t>
  </si>
  <si>
    <t>Week 4</t>
  </si>
  <si>
    <t>ITEM</t>
  </si>
  <si>
    <t>Hour</t>
  </si>
  <si>
    <t>Total Hr</t>
  </si>
  <si>
    <t>Salary/hr</t>
  </si>
  <si>
    <t>Morning</t>
  </si>
  <si>
    <t>Mngt</t>
  </si>
  <si>
    <t>Afternoon</t>
  </si>
  <si>
    <t>Total</t>
  </si>
  <si>
    <t>Lương trung bình Mngt</t>
  </si>
  <si>
    <t>Lương Mngt /ngày</t>
  </si>
  <si>
    <t>Lương/giờ</t>
  </si>
  <si>
    <t>Sale forcasting /Week</t>
  </si>
  <si>
    <t>SAVICO</t>
  </si>
  <si>
    <t>PICO</t>
  </si>
  <si>
    <t>Counter</t>
  </si>
  <si>
    <t>Mngt 1</t>
  </si>
  <si>
    <t>Estimate Sale (Maximize)</t>
  </si>
  <si>
    <t>Estimate 
COL</t>
  </si>
  <si>
    <t>NOTE</t>
  </si>
  <si>
    <t>Concept</t>
  </si>
  <si>
    <t>MGNT</t>
  </si>
  <si>
    <t>Sales mix</t>
  </si>
  <si>
    <t>DI</t>
  </si>
  <si>
    <t>TA</t>
  </si>
  <si>
    <t>DELI</t>
  </si>
  <si>
    <t>Productivity</t>
  </si>
  <si>
    <t>To</t>
  </si>
  <si>
    <t>Early Lunch</t>
  </si>
  <si>
    <t>Lunch</t>
  </si>
  <si>
    <t>Tea</t>
  </si>
  <si>
    <t>Dinner</t>
  </si>
  <si>
    <t>Late Dinner</t>
  </si>
  <si>
    <t>From</t>
  </si>
  <si>
    <t>Sales</t>
  </si>
  <si>
    <t>AVERAGE DAY PART</t>
  </si>
  <si>
    <t>Suggestion working hour</t>
  </si>
  <si>
    <t>by shift</t>
  </si>
  <si>
    <t>by day part</t>
  </si>
  <si>
    <t>Actual schedule</t>
  </si>
  <si>
    <t>Trans</t>
  </si>
  <si>
    <t>RIDERS</t>
  </si>
  <si>
    <t>Make 1</t>
  </si>
  <si>
    <t>Make 2</t>
  </si>
  <si>
    <t>LUNCH</t>
  </si>
  <si>
    <t>DINNER</t>
  </si>
  <si>
    <t>TEA</t>
  </si>
  <si>
    <t>EARLY LUNCH</t>
  </si>
  <si>
    <t>LATE DINNER</t>
  </si>
  <si>
    <t>Auxi/Bar 1</t>
  </si>
  <si>
    <t>Auxi/Bar 2</t>
  </si>
  <si>
    <t>Auxi/Bar 3</t>
  </si>
  <si>
    <t>Cập nhật thực tế Sales mix của store vào ô xanh dưới đây</t>
  </si>
  <si>
    <t>Labor Hours</t>
  </si>
  <si>
    <t>FCD</t>
  </si>
  <si>
    <t>Mngt 2</t>
  </si>
  <si>
    <t>Dough/Rider 1</t>
  </si>
  <si>
    <t>Dough/Rider 2</t>
  </si>
  <si>
    <t>Mgnt 3</t>
  </si>
  <si>
    <t>Server2/Rider</t>
  </si>
  <si>
    <t>Server3/Rider</t>
  </si>
  <si>
    <t>Server4/Rider</t>
  </si>
  <si>
    <t>CSR1/Server</t>
  </si>
  <si>
    <t>CSR2/Server</t>
  </si>
  <si>
    <t>CSR3/Server</t>
  </si>
  <si>
    <t>CSR4/Server</t>
  </si>
  <si>
    <t>Server1/Rider</t>
  </si>
  <si>
    <t>Dough/Rider 3</t>
  </si>
  <si>
    <t>Make 3</t>
  </si>
  <si>
    <t>Make 4</t>
  </si>
  <si>
    <t>GHI CHÚ</t>
  </si>
  <si>
    <t>Type the title of this Excel model into this cell</t>
  </si>
  <si>
    <t>Sheet "Activities input"</t>
  </si>
  <si>
    <t>Task List</t>
  </si>
  <si>
    <t>Human Resources Requirements</t>
  </si>
  <si>
    <t>PT/FT Responsibility</t>
  </si>
  <si>
    <t>Driving Factor</t>
  </si>
  <si>
    <t>Frequency by Day</t>
  </si>
  <si>
    <t>Frequency by Week</t>
  </si>
  <si>
    <t>Time Slot（mins required for every time slot）</t>
  </si>
  <si>
    <t>Position / Responsibilities</t>
  </si>
  <si>
    <t>Training Requirement</t>
  </si>
  <si>
    <t>Frequency</t>
  </si>
  <si>
    <t>THỜI GIAN</t>
  </si>
  <si>
    <t>CSR</t>
  </si>
  <si>
    <t>FT</t>
  </si>
  <si>
    <t>PT</t>
  </si>
  <si>
    <t>Driving of the required time</t>
  </si>
  <si>
    <t>Mondy</t>
  </si>
  <si>
    <t>Tuesday</t>
  </si>
  <si>
    <t>Wednesday</t>
  </si>
  <si>
    <t>Thursday</t>
  </si>
  <si>
    <t>Friday</t>
  </si>
  <si>
    <t>Saturday</t>
  </si>
  <si>
    <t>Sunday</t>
  </si>
  <si>
    <t>Week 1</t>
  </si>
  <si>
    <t>Week 2</t>
  </si>
  <si>
    <t>Week 3</t>
  </si>
  <si>
    <t>Specific</t>
  </si>
  <si>
    <t>Daily</t>
  </si>
  <si>
    <t>x</t>
  </si>
  <si>
    <t>TC</t>
  </si>
  <si>
    <t>Basic</t>
  </si>
  <si>
    <t>Store Area</t>
  </si>
  <si>
    <t>Cutting of ingredients</t>
  </si>
  <si>
    <t>Dish washing</t>
  </si>
  <si>
    <t>Fixed</t>
  </si>
  <si>
    <t>Follow up MRD Labels</t>
  </si>
  <si>
    <t>Daily</t>
    <phoneticPr fontId="6" type="noConversion"/>
  </si>
  <si>
    <t>x</t>
    <phoneticPr fontId="15" type="noConversion"/>
  </si>
  <si>
    <t>x</t>
    <phoneticPr fontId="22" type="noConversion"/>
  </si>
  <si>
    <t>Make Station</t>
  </si>
  <si>
    <t>Aux Station</t>
  </si>
  <si>
    <t>Bar - Drinks</t>
  </si>
  <si>
    <t>Clean Deep Fryer</t>
  </si>
  <si>
    <t>X</t>
  </si>
  <si>
    <t>Cashier check cashflow before opening</t>
  </si>
  <si>
    <t>No. of Cashier Counter</t>
  </si>
  <si>
    <t>Sweep / Mop Floor</t>
  </si>
  <si>
    <t>Cleaning glasses / Signage</t>
  </si>
  <si>
    <t>No</t>
  </si>
  <si>
    <t>Fill culteries, cups and plates</t>
  </si>
  <si>
    <t>Dry up culteries, cups and plates</t>
  </si>
  <si>
    <t>Finalize sales and cash，check credit card bills and total transaction bills，check tips</t>
  </si>
  <si>
    <t>Delivery TC</t>
  </si>
  <si>
    <t>Fold / Prepare leaflets</t>
  </si>
  <si>
    <t>Leafleting</t>
  </si>
  <si>
    <t>Weather</t>
  </si>
  <si>
    <t>Fold Pizza Boxes</t>
  </si>
  <si>
    <t>No. of Staff</t>
  </si>
  <si>
    <t>Order Vegieterian</t>
  </si>
  <si>
    <t>Receive Vegieterian</t>
  </si>
  <si>
    <t>Food runner</t>
  </si>
  <si>
    <t xml:space="preserve">Banking </t>
  </si>
  <si>
    <t>Shift Hand over</t>
  </si>
  <si>
    <t>Check Chiller/freezer/ FS Checklist</t>
  </si>
  <si>
    <t>Morning/Afternoon</t>
  </si>
  <si>
    <t>Evening</t>
  </si>
  <si>
    <t>Times</t>
  </si>
  <si>
    <t>People</t>
  </si>
  <si>
    <t>DEMO</t>
  </si>
  <si>
    <t>FROM:</t>
  </si>
  <si>
    <t>TO:</t>
  </si>
  <si>
    <t>Tồn CN</t>
  </si>
  <si>
    <t>AM</t>
  </si>
  <si>
    <t>Tồn</t>
  </si>
  <si>
    <t>PM</t>
  </si>
  <si>
    <t>Kg</t>
  </si>
  <si>
    <t>1.5</t>
  </si>
  <si>
    <t>0.5</t>
  </si>
  <si>
    <t>0.1</t>
  </si>
  <si>
    <t>0.2</t>
  </si>
  <si>
    <t>Can</t>
  </si>
  <si>
    <t>CAN</t>
  </si>
  <si>
    <t>MAKE</t>
  </si>
  <si>
    <t>DOUGH</t>
  </si>
  <si>
    <t>Batch</t>
  </si>
  <si>
    <t>Notes</t>
  </si>
  <si>
    <t>Prep Plan (Per Million Usage)</t>
  </si>
  <si>
    <t>Thời gian cần chuẩn bị  (Phút)</t>
  </si>
  <si>
    <t>Số lượng</t>
  </si>
  <si>
    <t>CUT</t>
  </si>
  <si>
    <t>Pizza box_L</t>
  </si>
  <si>
    <t>Pizza boox_R</t>
  </si>
  <si>
    <t>Pizza box_P</t>
  </si>
  <si>
    <t>Pcs</t>
  </si>
  <si>
    <t>Rã đông</t>
  </si>
  <si>
    <t xml:space="preserve">Rã đông, cắt theo tỉ lệ </t>
  </si>
  <si>
    <t xml:space="preserve">Rã đông </t>
  </si>
  <si>
    <t>Sơ chế, cắt theo tỉ lệ</t>
  </si>
  <si>
    <t>Rã đông, qua lò</t>
  </si>
  <si>
    <t>Sơ chế</t>
  </si>
  <si>
    <t>Sơ chế, cắt theo tỉ lệ và cho qua lò</t>
  </si>
  <si>
    <t>Sơ chế, luộc, đóng bịch</t>
  </si>
  <si>
    <t>Sơ chế, cắt theo tỉ lệ, đóng bịch</t>
  </si>
  <si>
    <t>Đã chuẩn bị trước</t>
  </si>
  <si>
    <t>Gấp sẵn</t>
  </si>
  <si>
    <t>Ca sáng 0.5 mẻ</t>
  </si>
  <si>
    <t>Sơ chế, để ráo nước</t>
  </si>
  <si>
    <t>Portion</t>
  </si>
  <si>
    <t xml:space="preserve">Pan Dough </t>
  </si>
  <si>
    <t>SCP Dough</t>
  </si>
  <si>
    <t>TnC Dough</t>
  </si>
  <si>
    <t>HT Dough</t>
  </si>
  <si>
    <t xml:space="preserve">Mozzarella Cheese </t>
  </si>
  <si>
    <t>Ham</t>
  </si>
  <si>
    <t>Bacon</t>
  </si>
  <si>
    <t>Crab Stick</t>
  </si>
  <si>
    <t>Smoked SG Sausage</t>
  </si>
  <si>
    <t>Pepperoni</t>
  </si>
  <si>
    <t>Shrimp With Tail (21/30)</t>
  </si>
  <si>
    <t>Squid</t>
  </si>
  <si>
    <t>String Cheese (2 colors)</t>
  </si>
  <si>
    <t>Beef Topping</t>
  </si>
  <si>
    <t>Shirmp Topping</t>
  </si>
  <si>
    <t xml:space="preserve">Onion </t>
  </si>
  <si>
    <t>Olive</t>
  </si>
  <si>
    <t>Mushroom</t>
  </si>
  <si>
    <t>Pineapple</t>
  </si>
  <si>
    <t xml:space="preserve">Wing Drumlet </t>
  </si>
  <si>
    <t>Wing Mid-wing</t>
  </si>
  <si>
    <t>Bacon (Aux)</t>
  </si>
  <si>
    <t>Mince Meat</t>
  </si>
  <si>
    <t>Italian Sausage</t>
  </si>
  <si>
    <t>Corn</t>
  </si>
  <si>
    <t>Green Bean</t>
  </si>
  <si>
    <t>French Bean</t>
  </si>
  <si>
    <t xml:space="preserve">Carrot </t>
  </si>
  <si>
    <t>Cherry Tomato</t>
  </si>
  <si>
    <t>Onions (Aux)</t>
  </si>
  <si>
    <t>Green Capsicum (Aux)</t>
  </si>
  <si>
    <t>Mushroom (Aux)</t>
  </si>
  <si>
    <t>Peach</t>
  </si>
  <si>
    <t>Zuchinni</t>
  </si>
  <si>
    <t>Nhân viên CSR sau khi đi bank với quản lý về sẽ vệ sinh kính từ 9h20 đến 9h40</t>
  </si>
  <si>
    <t>1 quản lý và 1 nhân viên CSR đi banking di chuyển ~20p mỗi chiều) =&gt; đi trước 10h</t>
  </si>
  <si>
    <t>Hoàn thành trước 10h sáng</t>
  </si>
  <si>
    <t>- Ca sáng cắt thái chuẩn bị 1 số nguyên liệu AC: Hành, ớt qua lò, Bacon qua lò, Đồ rau củ cho cơm trong menu 39k, Cheesy pop, …
- Ca chiều cắt thái đồ chuẩn bị cho ngày hôm sau (có thể fix thời gian theo preplan)</t>
  </si>
  <si>
    <t>Quản lý bàn giao tiền cho CSR và túi bao tử, chìa khóa xe giao hàng
Ký bàn gian sổ sách =&gt; hoàn thành trước 10h</t>
  </si>
  <si>
    <t>Họp đầu thực hiện trước giờ bán hàng gồm 1 quản lý và 4-5 nhân viên (thời gian họp 5p x 6 = 30p)</t>
  </si>
  <si>
    <t>1 Nhân viên Server kết hợp đi đồ và take care khách hàng =&gt; giờ thấp điểm CSR thay</t>
  </si>
  <si>
    <t>Giờ cao điểm cần ít nhất 2 Rider đi đơn
Thời gian không có đơn hàng hỗ trợ đi đồ và DW và làm lịch vệ sinh
Giờ thấp điểm 1 rider+DW</t>
  </si>
  <si>
    <t>Chuẩn bị 200 tờ rơi ~ 10p (có thể bỏ qua do có sự kiện hoặc thời tiết không thể LSM)</t>
  </si>
  <si>
    <t>Tối thiểu 2 nhân viên phát 200 tờ rơi (có thể bỏ qua do có sự kiện hoặc thời tiết không thể LSM) - thời gian dự kiến 1h và thay đổi thời gian theo khu vực phát xa gần</t>
  </si>
  <si>
    <t>Thực hiện cuối ca, xả và lọc dầu</t>
  </si>
  <si>
    <t>Lau kho các dụng cụ sau khi nhân viên rửa đồ xong =&gt; thời gian không cố định hàng ca</t>
  </si>
  <si>
    <t>Úp cất các dụng cụ về vị trí =&gt; thời gian không cố định hàng ca</t>
  </si>
  <si>
    <t xml:space="preserve">Dọn quầy và vệ sinh quầy, bắt đầu từ 21h
- Make: 20p
- Auxi 20p
- Cut 15p
- Bar 15p 
- dough+dispath 20p
</t>
  </si>
  <si>
    <t>Oil 3/4 mẻ Pan và 1/4 mẻ SCP</t>
  </si>
  <si>
    <t>Lau bàn ghế, vệ sinh sắp xếp quầy Cash</t>
  </si>
  <si>
    <t>Úp ghế và kê bàn cho k bị ấm thấp mốc</t>
  </si>
  <si>
    <t>MIC và CSR kiểm tra trước giấy tờ trước khi đóng ca (thẻ, Aligator,…) từ 21h40 pick tiền và ký bàn giao hoàn thành trước 22h</t>
  </si>
  <si>
    <t>MIC làm báo cáo cuối ngày 
- daily report
- Wastage discard
- Xuất VAT
- Confirm sale</t>
  </si>
  <si>
    <t>Giờ nghỉ giữa ca =&gt; không cố định hàng ca và thời gian tùy tình hình hàng ca</t>
  </si>
  <si>
    <t>Đặt hàng rau 2 ngày 1 lần trước 12h thứ 3 5 7, CN</t>
  </si>
  <si>
    <t>Nhận hàng rau 2 ngày 1 lần trước 11h thứ 2 4 6 CN</t>
  </si>
  <si>
    <t>1 nhân viên gấp
- 30 hộp L: 9p
- 50 hộp R: 12p
- 30 hộp P: 9p
=&gt; Thời gian gấp không cố định</t>
  </si>
  <si>
    <t>Ca sáng 1 nửa mẻ; Ca chiều 1 nửa mẻ
Thời gian 1 nửa mẻ 25p/2 người</t>
  </si>
  <si>
    <t>Green Capsicum 1x4</t>
  </si>
  <si>
    <t>Red Capsicum 1x4</t>
  </si>
  <si>
    <t>Sơ chế, cắt theo tỉ lệ/ trần 2 phút</t>
  </si>
  <si>
    <t>Sơ chế, cắt theo tỉ lệ/ trần 7 phút</t>
  </si>
  <si>
    <t>Khoai tây chiên</t>
  </si>
  <si>
    <t>Black Mayo</t>
  </si>
  <si>
    <t>Auxi</t>
  </si>
  <si>
    <t>Parley</t>
  </si>
  <si>
    <t>Gr</t>
  </si>
  <si>
    <t>Sơ chế, băm nhỏ</t>
  </si>
  <si>
    <t>Cá ngừ ráo dầu</t>
  </si>
  <si>
    <t>Sơ chế, để ráo dầu</t>
  </si>
  <si>
    <t>Sốt Bơ tỏi ( 0.25kg/phần)</t>
  </si>
  <si>
    <t>Cơm trắng (7 gói/ phần)</t>
  </si>
  <si>
    <t>Sốt Creamy ( 0,9kg/ phần)</t>
  </si>
  <si>
    <t>Sốt Bolenese (2,4kg/ phần)</t>
  </si>
  <si>
    <t>Sốt tiêu đen (0.4kg/ phần)</t>
  </si>
  <si>
    <t>Sweet ups(5.2kg/phần)</t>
  </si>
  <si>
    <t>Cheesy mayo (0.2kg/phần)</t>
  </si>
  <si>
    <t xml:space="preserve">RGS / OPENING SHIFT / CHECK-IN </t>
  </si>
  <si>
    <t>BOH TMs</t>
  </si>
  <si>
    <t>MODs</t>
  </si>
  <si>
    <t>FOH TMs</t>
  </si>
  <si>
    <t>Dough/Rider</t>
  </si>
  <si>
    <t>DELIVERY MOTOR BIKES CHECKING</t>
  </si>
  <si>
    <t>TASKS</t>
  </si>
  <si>
    <t>MAKE /AUX / CUT/BAR TABLE SET-UP</t>
  </si>
  <si>
    <t>Cut Station</t>
  </si>
  <si>
    <t>80% nguyên liệu đã được chuẩn bị từ ngày hôm trước</t>
  </si>
  <si>
    <t>Approved working hours on Cadena</t>
  </si>
  <si>
    <t xml:space="preserve">Make Soup and Sauces </t>
  </si>
  <si>
    <t>Flexible</t>
  </si>
  <si>
    <t xml:space="preserve">PAN DOUGH MAKING </t>
  </si>
  <si>
    <t>Prepare T&amp;C Dough</t>
  </si>
  <si>
    <t>Prepare HT Dough</t>
  </si>
  <si>
    <t xml:space="preserve">Prepare Spaghetti &amp; Rice </t>
  </si>
  <si>
    <t xml:space="preserve">Prepare Appertizer </t>
  </si>
  <si>
    <t>Frozen foods Defrosting</t>
  </si>
  <si>
    <t>R4R (Make. Aux, Bar)</t>
  </si>
  <si>
    <t>Prepare Delievery &amp; Take aways condiments</t>
  </si>
  <si>
    <t xml:space="preserve">Clean service trays, fill up sauces botles </t>
  </si>
  <si>
    <t xml:space="preserve">ADMIN WORKS </t>
  </si>
  <si>
    <t xml:space="preserve">Check mail, đọc logbook, kế hoạch chuẩn bị hàng hóa </t>
  </si>
  <si>
    <t>Specific/Basic</t>
  </si>
  <si>
    <t xml:space="preserve">Morning </t>
  </si>
  <si>
    <t>Kiểm tra xe giao hàng theo check list trước giờ hoạt động</t>
  </si>
  <si>
    <t>MIC Kiểm tra nhiệt độ các tủ và ghi chép sổ trước 10h sáng</t>
  </si>
  <si>
    <t>MIC Kiểm tra MRD các sản phẩm trong các tủ trước 10h sáng</t>
  </si>
  <si>
    <t xml:space="preserve">Flexible </t>
  </si>
  <si>
    <t>Quét và lau sàn FOH đầu ca, giữa ca và đóng ca</t>
  </si>
  <si>
    <t>Set-up theo khu vực riêng trước 10h sáng, các khu vực khác có thể hoàn thiện sau theo thực tế lượng khách buổi trưa.</t>
  </si>
  <si>
    <t>Theo kế hoạch chuẩn bị hàng hóa</t>
  </si>
  <si>
    <t xml:space="preserve">Breifing </t>
  </si>
  <si>
    <t xml:space="preserve">Trong giờ cao điểm cầ 1 nhân viên đứng độc lập 1 mình, giờ thấp điểm in-charge khu vực BOH. </t>
  </si>
  <si>
    <t>Kết hợp nhân viên quầy Aux</t>
  </si>
  <si>
    <t>Các quầy chia sẻ công việc của vị trí này</t>
  </si>
  <si>
    <t>Pack Delivery and Take out Order, Dispatch</t>
  </si>
  <si>
    <t>Trong giờ cao điểm, Leader BOH sẽ đảm nhiệm vị trí này để kiểm soát chất lượng và thời gian</t>
  </si>
  <si>
    <t xml:space="preserve">Thời gian thấp điểm MOD phân công 1 nhân viên </t>
  </si>
  <si>
    <t>2 quản lý bàn giao ca (doanh thu, vấn đề trong ca, thẻ, sổ sách,…) thơi gian 5p x 2 = 10p</t>
  </si>
  <si>
    <t xml:space="preserve">Pans Pre-Oil for the next morning </t>
  </si>
  <si>
    <t>RGS / CLOSING SHIFT</t>
  </si>
  <si>
    <t>2-3/Week</t>
  </si>
  <si>
    <t xml:space="preserve">Thời gian làm TnC Dough 15'/0.5 batch trong 10' (shelflife 8h); thời gian cán dough vào chảo trong 30' (shelflife 60h); khoảng 2-3 lần/tuần. </t>
  </si>
  <si>
    <t xml:space="preserve">Thời gian làm HT Dough 30'/0.5 batch, thời gian thực hiện linh hoạt theo (selflife 40h); khoảng 2-3 lần/tuần. </t>
  </si>
  <si>
    <t>Flexibel</t>
  </si>
  <si>
    <t>Giờ cao điểm cần 1 nhân viên đứng độc lập 1 quầy, giờ thấp điểm kết hợp Server và Hostess</t>
  </si>
  <si>
    <t>Linh hoạt sắp xếp nhân sự kiêm nhiệm</t>
  </si>
  <si>
    <t xml:space="preserve">Đóng cửa cùng 1 nhân viên; thực hiện security &amp; safety check </t>
  </si>
  <si>
    <t xml:space="preserve">Mở cửa cùng 1 nhân viên; thực hiện security &amp; safety check </t>
  </si>
  <si>
    <t>OPENING CLEANING BOH</t>
  </si>
  <si>
    <t>OPENING CLEANING FOH</t>
  </si>
  <si>
    <t>Rest room Clearning</t>
  </si>
  <si>
    <t>Linh hoạt thời gian và PIC</t>
  </si>
  <si>
    <t>Closing BOH Cleaning (Oven, Fryers,… )</t>
  </si>
  <si>
    <t xml:space="preserve">Dust removing </t>
  </si>
  <si>
    <t>Closing FOH Clearning (Clean up dust，clean Station counter，clean tables, sofa)</t>
  </si>
  <si>
    <t>3/week</t>
  </si>
  <si>
    <t>1. Ca sáng: 08.10 làm Dough với sự hỗ trợ của MOD. 8.10-8.35: 1/2 mẻ Pan; 8.35-9.00: 1/2 mẻ (1/4 Pan &amp; 1/4 SCP); Sau khi hoàn thành, follow-up Dough theo quy trình đồng thời support bộ phận khác.  
2. Ca chiều: Linh hoạt thời gian thực tế, làm bổ sung 1/2 mẻ Pan dough.</t>
  </si>
  <si>
    <t xml:space="preserve">Cleaning tables, sofas, chairs,… </t>
  </si>
  <si>
    <t>Set-up table &amp; Prepare dine-in condiments</t>
  </si>
  <si>
    <t>Turning chairs before sweep/mop floor</t>
  </si>
  <si>
    <t>Meal time 30' for TMs whom work over 6h</t>
  </si>
  <si>
    <t xml:space="preserve">Daily Report </t>
  </si>
  <si>
    <t>Cuộn viền dough (2 CCP, 1 CBR, 1 half&amp;half, 2 viền LTO, Pre Top, Pre sauce, … trước giờ cao điểm</t>
  </si>
  <si>
    <t xml:space="preserve">Morning/Afternoon </t>
  </si>
  <si>
    <t>ALL</t>
  </si>
  <si>
    <t>MOD</t>
  </si>
  <si>
    <t>Baline working hours (minimize)</t>
  </si>
  <si>
    <t>Sales Forecast (maximize)</t>
  </si>
  <si>
    <t>Total Minutes</t>
  </si>
  <si>
    <t>Total Hours</t>
  </si>
  <si>
    <t>Sales mixed</t>
  </si>
  <si>
    <t>DE</t>
  </si>
  <si>
    <t>Trans.</t>
  </si>
  <si>
    <t>RIDERS DELIVERY</t>
  </si>
  <si>
    <t>FOH TMs (Hostess, Server, Table Cleaning,...)</t>
  </si>
  <si>
    <t>CSR/Cashier</t>
  </si>
  <si>
    <t>Cooking utensils and Oven cleaning</t>
  </si>
  <si>
    <t>BL</t>
  </si>
  <si>
    <t>Cách chế biến/chuẩn bị</t>
  </si>
  <si>
    <t>Số liệu tối thiểu cần chuẩn bị</t>
  </si>
  <si>
    <t>1 nửa mẻ</t>
  </si>
  <si>
    <t>Không có tối thiểu</t>
  </si>
  <si>
    <t>Sau khi rã đông, bóp tơi và sử dụng luôn</t>
  </si>
  <si>
    <t>Sau khi rã đông bóc vỏ ép bớt nước và cắt theo tỉ lệ (1*4.5 )</t>
  </si>
  <si>
    <t>Sau khi rã đông bóc ra bóp tơi và sử dụng luôn</t>
  </si>
  <si>
    <t>Sau khi rã đông bóc túi và cắt theo tỉ lệ (cắt xéo1*3)</t>
  </si>
  <si>
    <t>10 phút/0.5 kg</t>
  </si>
  <si>
    <t>Rã đông, sử dụng luôn</t>
  </si>
  <si>
    <t>0.5 Kg</t>
  </si>
  <si>
    <t xml:space="preserve">Sau khi rã đông. Bóc bỏ vỏ lilong bên ngoài cắt theo tỉ lệ (cắt xéo 0.5*3 ) </t>
  </si>
  <si>
    <t>5 phút/0.5Kg</t>
  </si>
  <si>
    <t>1 Kg</t>
  </si>
  <si>
    <t>Rã đông, Đặt nước rồi trần theo tỉ lệ ( 5 lít nước/ 300g tôm ). Sau khi nước sôi bùng lên thả vào trần trong 30s. Vớt ra ngâm trong hỗn hợp nước đá với tỉ lệ( 1*1) trong 5 phút. Vớt ra xóc ráo bảo quản tủ mát trong tủ mát.</t>
  </si>
  <si>
    <t>Rã đông, Đặt nước rồi trần theo tỉ lệ ( 5 lít nước/ 300g mực ). Sau khi nước sôi bùng lên thả vào trần trong 7s. Vớt ra ngâm trong hỗn hợp nước đá với tỉ lệ( 1*1) trong 5 phút. Vớt ra xóc ráo bảo quản tủ mát trong tủ mát.</t>
  </si>
  <si>
    <t>Sau khi rã đông đổ ra rổ lỗ xóc ráo rồi sử dụng luôn</t>
  </si>
  <si>
    <t>Bóc vỏ : 5phút/0.5kg         Cắt : 5 phút / 0.5Kg</t>
  </si>
  <si>
    <t xml:space="preserve">Loại bỏ phần ruột 5phút/1Kg Cắt 15 phút/ 1Kg </t>
  </si>
  <si>
    <t>1 Can</t>
  </si>
  <si>
    <t>Pesto sauce (3,3kg/phần)</t>
  </si>
  <si>
    <t>1Phần</t>
  </si>
  <si>
    <t>Rã đông, đóng bịch</t>
  </si>
  <si>
    <t xml:space="preserve">Rửa sạch dưới vòi nước, cắt đầu trái loại bỏ phần ruột và hạt. Cắt thành từng miến theo tỉ lệ ( 1* 4) </t>
  </si>
  <si>
    <t>Bóc bỏ phần gốc và lớp vỏ khô, rửa sạch và khử trùng. Sau đó vớt ra để ráo rồi cắt theo thành từng miếng theo tỉ lệ ( 1* 4)</t>
  </si>
  <si>
    <t xml:space="preserve">Loại bỏ phần vỏ: 5phút/1Kg   Ngâm:10 phút                     Cắt: 20 phút/ 1Kg </t>
  </si>
  <si>
    <t>Khui vỏ, đổ ra rổ, bọc kín để ráo 10 tiếng trong tủ mát</t>
  </si>
  <si>
    <t>5 phút /Can</t>
  </si>
  <si>
    <t>Rửa sạch, bổ dọc quả làm 4 để được hình cánh quạt. Sau đó cắt thành từng lát mỏng dảy 0.2cm</t>
  </si>
  <si>
    <t>Chuẩn bị nguyên liệu: basil đã rã đông, đường, bột thịt gà, sốt mayonaise, dầu nành, công đựng. Sau đó cân theo tỉ lệ và trộn đều với nhau.</t>
  </si>
  <si>
    <t>Chuẩn bị nguyên liệu: sốt spicy, mayonaise,đường, bột thịt gà, công đựng. Sau đó cân theo tỉ lệ và trộn đều với nhau.</t>
  </si>
  <si>
    <t>Chuẩn bị nguyên liệu: sốt tomato sweet, nước, công đựng. Sau đó cân theo tỉ lệ và trộn đều với nhau.</t>
  </si>
  <si>
    <t>Chuẩn bị nguyên liệu: sốt black, mayonaise, công đựng.  Sau đó cân theo tỉ lệ và trộn đều với nhau.</t>
  </si>
  <si>
    <t>Bacon sau khi rã đông bóp tơi và rải đều lên chảo thin. Sau đó đặt chảo thin lên chảo pan nướng 2/3 lò. Tiếp theo đảo mặt dưới củ bacon lên nướng thêm 1/3 lò.</t>
  </si>
  <si>
    <t>Rửa sạch, loại bỏ phần đầu quả rồi cắt theo tỉ lệ ( cắt xéo 1*3 ). Sau đó luộc trong nước sôi 2 phút. Vớt ra ngâm đá ngay để kìm hãm độ chín và giữ được màu sác của quả</t>
  </si>
  <si>
    <t>Loại bỏ phần vỏ rồi cắt theo tỉ lệ (hạt lựu 1*1). Sau đó luộc trong nước sôi 7 phút. Vớt ra ngâm đá ngay để kìm hãm độ chín và giữ được màu sác của quả</t>
  </si>
  <si>
    <t>Rửa sạch, nhặt bỏ phần cuống. Bổ dọc đôi quả cà chua.</t>
  </si>
  <si>
    <t>Sơ chế : 2 phút                    Cắt theo tỉ lệ 10 phút/0.5Kg Trần: 2 phút                             Làm nguội : 5 phút</t>
  </si>
  <si>
    <t>Sơ chế : 5 phút                       Cắt theo tỉ lệ 10 phút/0.5Kg Trần: 5 phút                             Làm nguội : 5 phút</t>
  </si>
  <si>
    <t>Sơ chế: 5 phút                         Cắt: 5 phút/ 0.5 Kg</t>
  </si>
  <si>
    <t>Bóc bỏ phần gốc và lớp vỏ khô, rửa sạch và khử trùng. Sau đó vớt ra để ráo rồi cắt theo thành từng miếng theo tỉ lệ ( 1*1 ). Sau đó lấy chảo pan đã quét dầu cho hành vào quét thêm 1 lớp dầu lên rồi qua 1/3 lò</t>
  </si>
  <si>
    <t>Loại bỏ phần vỏ: 5phút/1Kg   Ngâm:10 phút                     Cắt: 20 phút/ 1Kg                   Qua lò 5 phút                           Làm nguội: 20 phút</t>
  </si>
  <si>
    <t>Rửa sạch dưới vòi nước, cắt đầu trái loại bỏ phần ruột và hạt. Cắt thành từng miến theo tỉ lệ ( cắt xéo 1*3).Sau đó lấy chảo pan đã quét dầu cho ớt vào quét thêm 1 lớp dầu lên rồi qua 1/3 lò</t>
  </si>
  <si>
    <t>Khui vỏ, đổ ra rổ, bọc kín để ráo 10 tiếng trong tủ mát. Sau đó lấy chảo pan đã quét dầu cho ớt vào quét thêm 1 lớp dầu lên rồi qua 1/3 lò</t>
  </si>
  <si>
    <t>Chuẩn bị nguyên liệu: 2 phút  Qua lò: 5 phút                          Làm nguội: 20 phút</t>
  </si>
  <si>
    <t>Nhặt bỏ phần gốc và các phần rau hỏng. Tách riêng từng lá sau đó rửa sạch dưới vòi nước. Cho rau vào ngâm khử trùng khoảng 10-15 phút. Vớt ra làm ráo và cắt ngang theo tỉ lệ ( 3*5 ). Rồi đóng gói.</t>
  </si>
  <si>
    <t>Sơ chế : 15 phút / 1 Kg          Ngâm khử trùng : 10 phút      Cắt : 5 phút                              Đóng gói: 5 phút</t>
  </si>
  <si>
    <t>2Kg</t>
  </si>
  <si>
    <t>Cho nước vào nồi rồi cho thêm muối. Nước sôi trải đều mỳ vào, đợi nước sôi trở lại để mỳ luộc thêm 7 phút. Kiểm tra xem mỳ đã chín chưa rồi đổ ra. Cho nước đá lạnh vào khuấy đều ngâm trong 10s. Làm ráo, bọc kín để trong tủ mát 30 phút. Sau đó đem ra trộn đều với dầu cho tơ sợi mỳ và đóng thành từng gói.</t>
  </si>
  <si>
    <t>Lấy khoai trong tủ đông ra đóng thành từng gói</t>
  </si>
  <si>
    <t>5 phút / 2Kg</t>
  </si>
  <si>
    <t>Sơ chế rau củ: 5 phút/phần  Băm ngò : 5 phút / phần          Say tỏi : 3 phút/ phần              Trộn : 3 phút/ phần</t>
  </si>
  <si>
    <t>Chuẩn bị nguyên liệu:Bơ lạt đã xả ở nhiệt độ phòng 12 tiếng, hạt nêm nấm, tỏi, ngò, công đựng. Ngò nhặt lấy phần nhánh, rửa sạch, quay khô rồi bằm nhuyễn. Tỏi cắt bỏ phần cuống thâm, rửa sạch rồi đem say. Sau đó đem trộn đều với bơ đã xả mềm và hạt nêm nấm.</t>
  </si>
  <si>
    <t>Chuẩn bị nguyên liệu:sốt bơ tỏi, hành tây xay, dầu nành,bột mỳ, nước,sữa tươi, kem béo, phô mai bột, aromat.Cho hành tây đã xay, bơ tỏi, dầu và 1 nửa bột mỳ vào chảo pan, khuấy đều rồi đậy chảo thi lên nướng full lò.đổ hỗn hợp và nước vào nồi đun khoảng 2 phút.Trộn đều bột mỳ còn lại cùng aromat, kem béo và sữa tươi. Sau đó cho vào nồi khuấy đều đun sôi.</t>
  </si>
  <si>
    <t>Chuẩn bị nguyên liệu:hành tây, cà rốt, cần tây, bột mỳ, sốt bơ tỏi, dầu ăn, sốt cà chua divella, tomato sweet, sốt black, nước, đường, aromat.  Xay nhỏ rau củ rồi trộn ới bột mỳ, dầu và bơ tỏi cho vào chảo pan,đậy chảo thin lên rồi nướng full lò.                                                                     Cho hỗn hợp và các nguyên liệu còn lại vào nồi khuấy đều đun sôi rồi đun thêm 10 phút.            Đổ ra làm lạnh. bảo quản tủ mát</t>
  </si>
  <si>
    <t>Chuẩn bị nguyên liệu: Sốt black, nước,kem béo.  Cho tất cả nguên liệu vào chảo. Khuấy đều đun 7 phút, đến khi sôi lăn tăn. Tắt bếp, làm nguội</t>
  </si>
  <si>
    <t>Chuần bi nguyên liệu :5phút   Nấu sốt: 7 phút                      Làm nguội: 15 phút</t>
  </si>
  <si>
    <t>0.5Kg</t>
  </si>
  <si>
    <t>Tối thiểu 300g</t>
  </si>
  <si>
    <t>Rã đông/trần 7 giây</t>
  </si>
  <si>
    <t>10 phút/ Kg cả thời gian ngâm đá</t>
  </si>
  <si>
    <t>1 phút /Can</t>
  </si>
  <si>
    <t>5 phút / 0.5Kg</t>
  </si>
  <si>
    <t>2 phút /Can</t>
  </si>
  <si>
    <t>Chuẩn bị nguyên liệu: 5 phút      Trộn đều nguyên liệu: 5 phút</t>
  </si>
  <si>
    <t>Chuẩn bị nguyên liệu: 1 phút  Qua lò: 9 phút                          Làm nguội: 20 phút</t>
  </si>
  <si>
    <t>Sơ chế: 2phút/1Kg            Cắt: 15 phút/ 1Kg                   Qua lò 5 phút                           Làm nguội: 20 phút</t>
  </si>
  <si>
    <t>Khui hộp cắt chia làm 4 miếng nhỏ trên nửa quả</t>
  </si>
  <si>
    <t>1 can</t>
  </si>
  <si>
    <t>1 hôp 8-10 miếng cắt trong 5p</t>
  </si>
  <si>
    <t xml:space="preserve">Chuẩn bị nguyên liệu: 1 phút Luộc : 20 phút                        Làm nguội:30 phút                 Trộn dầu: 5 phút                      Đóng gói 10 phút                            </t>
  </si>
  <si>
    <t>Luộc mỳ Spaghetty</t>
  </si>
  <si>
    <t>Đóng gói Spaghetty</t>
  </si>
  <si>
    <t xml:space="preserve">Đóng gói 10p/0.5kg                            </t>
  </si>
  <si>
    <t>Sơ chế Salad (Lola)</t>
  </si>
  <si>
    <t>Đóng gói: 5p/kg</t>
  </si>
  <si>
    <t>Chuẩn bị nguyên liệu 5p
Đóng gói 1 phần (7 xuất): 5p</t>
  </si>
  <si>
    <t>Chuần bi nguyên liệu :5 phút Nướng hỗn hợp: 8 phút           Nấu sốt: 10 phút                      Làm nguội: 30 phút</t>
  </si>
  <si>
    <t>Chuần bi nguyên liệu :5phút Nướng hỗn hợp: 8 phút           Nấu sốt: 20 phút                      Làm nguội: 30 phút</t>
  </si>
  <si>
    <t>Chuẩn bị nguyên liệu: 5 phút
Quay Dough 10 phút
Cắt, vò và cán 20 phút/2 người</t>
  </si>
  <si>
    <t>Thin sau khi trộn xong bảo quản nhiệt độ Phòng 8-18 tiếng sau đó cán ra để được 60 tiếng</t>
  </si>
  <si>
    <t>Chuẩn bị nguyên liệu: 5 phút
Quay Dough 3 phút
Chia phần vào túi 5 phút
Cán dough 20 phút/2 người</t>
  </si>
  <si>
    <t>Đã chuẩn bị trước
Trung bình 4 ngày làm thin 1 lần</t>
  </si>
  <si>
    <t>Dough sau khi làm xong Ủ 45 phút
Hãm 16 tiếng
Hạn sử dụng 40 tiếng</t>
  </si>
  <si>
    <t>Chuẩn bị nguyên liệu: 5 phút
Quay Dough 8 phút
Vò dough + quét dầu: 20 phút/2 người</t>
  </si>
  <si>
    <t>Đã chuẩn bị trước
Trung bình 2 ngày làm HT 1 lần</t>
  </si>
  <si>
    <t>1 Thùng hộp lagre nguyên là 100pcs/ctn</t>
  </si>
  <si>
    <t>Gấp 1 hộp hết 10s</t>
  </si>
  <si>
    <t>1 Thùng hộp Regular nguyên là 200pcs/ctn</t>
  </si>
  <si>
    <t>1 Thùng hộp Personal nguyên là 200pcs/ctn</t>
  </si>
  <si>
    <t xml:space="preserve">Nhặt là rửa sạch và phơi khô sau đó băm nhỏ lá </t>
  </si>
  <si>
    <t>Chuẩn bị và sơ chế: 3p
Băm lá 2p</t>
  </si>
  <si>
    <t>Đóng gói  salad (Lola)</t>
  </si>
  <si>
    <t>kg</t>
  </si>
  <si>
    <t>Update 100421</t>
  </si>
  <si>
    <t>start_time</t>
  </si>
  <si>
    <t>frequency</t>
  </si>
  <si>
    <t>duration</t>
  </si>
  <si>
    <t>Cutting of ingredients (morning)</t>
  </si>
  <si>
    <t>Cutting of ingredients (afternoon)</t>
  </si>
  <si>
    <t>PAND DOUGH MAKING (afternoon)</t>
  </si>
  <si>
    <t>PAN DOUGH MAKING (morning)</t>
  </si>
  <si>
    <t>end_time</t>
  </si>
  <si>
    <t>CUT/BAR TABLE SET-UP (afternoon)</t>
  </si>
  <si>
    <t>MAKE /AUX TABLE SET-UP (afternoon)</t>
  </si>
  <si>
    <t>MAKE /AUX TABLE SET-UP (morning)</t>
  </si>
  <si>
    <t>R4R (Make. Aux, Bar) (morning)</t>
  </si>
  <si>
    <t>R4R (Make. Aux, Bar) (afternoon)</t>
  </si>
  <si>
    <t>CUT/BAR TABLE SET-UP (morning)</t>
  </si>
  <si>
    <t>Check Chiller/freezer/ FS Checklist (morning)</t>
  </si>
  <si>
    <t>Check Chiller/freezer/ FS Checklist (afternoon)</t>
  </si>
  <si>
    <t>Follow up MRD Labels (morning)</t>
  </si>
  <si>
    <t>Follow up MRD Labels (afternoon)</t>
  </si>
  <si>
    <t>Dish washing (afternoon)</t>
  </si>
  <si>
    <t>Dish washing (evening)</t>
  </si>
  <si>
    <t>Dish washing (morning)</t>
  </si>
  <si>
    <t>Rest room Clearning (after lunch)</t>
  </si>
  <si>
    <t>Rest room Clearning (after tea)</t>
  </si>
  <si>
    <t>Rest room Clearning (after dinner)</t>
  </si>
  <si>
    <t>Rest room Clearning (morning)</t>
  </si>
  <si>
    <t>Sweep / Mop Floor (morning)</t>
  </si>
  <si>
    <t>Sweep / Mop Floor (afternoon)</t>
  </si>
  <si>
    <t>Sweep / Mop Floor (evening)</t>
  </si>
  <si>
    <t>Breifing (morning)</t>
  </si>
  <si>
    <t>Breifing (afternoon)</t>
  </si>
  <si>
    <t>Dry up culteries, cups and plates (afternoon)</t>
  </si>
  <si>
    <t>Fill culteries, cups and plates (evening)</t>
  </si>
  <si>
    <t>Dry up culteries, cups and plates (evening)</t>
  </si>
  <si>
    <t>Fill culteries, cups and plates (afternoon)</t>
  </si>
  <si>
    <t>ADMIN WORKS (morning)</t>
  </si>
  <si>
    <t>ADMIN WORKS (afternoon)</t>
  </si>
  <si>
    <t>ADMIN WORKS (evening)</t>
  </si>
  <si>
    <t>tasks</t>
  </si>
  <si>
    <t>time_out</t>
  </si>
  <si>
    <t>Rider</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</si>
</sst>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_(* #,##0_);_(* \(#,##0\);_(* &quot;-&quot;??_);_(@_)"/>
    <numFmt numFmtId="165" formatCode="0.0%"/>
    <numFmt numFmtId="166" formatCode="#,##0.0"/>
    <numFmt numFmtId="167" formatCode="00&quot;:&quot;00"/>
    <numFmt numFmtId="168" formatCode="_(* #,##0.0_);_(* \(#,##0.0\);_(* &quot;-&quot;??_);_(@_)"/>
    <numFmt numFmtId="169" formatCode="h:mm;@"/>
    <numFmt numFmtId="170" formatCode="[$-409]d\-mmm;@"/>
    <numFmt numFmtId="171" formatCode="0.0"/>
    <numFmt numFmtId="172" formatCode="[$-F400]h:mm:ss\ AM/PM"/>
  </numFmts>
  <fonts count="98">
    <font>
      <sz val="11"/>
      <color theme="1"/>
      <name val="Arial"/>
      <family val="2"/>
    </font>
    <font>
      <sz val="11"/>
      <color indexed="8"/>
      <name val="Arial"/>
      <family val="2"/>
    </font>
    <font>
      <sz val="12"/>
      <name val="Times New Roman"/>
      <family val="1"/>
    </font>
    <font>
      <sz val="12"/>
      <color indexed="8"/>
      <name val="Times New Roman"/>
      <family val="1"/>
    </font>
    <font>
      <sz val="10"/>
      <name val="Arial"/>
      <family val="2"/>
    </font>
    <font>
      <b/>
      <sz val="13"/>
      <name val="Times New Roman"/>
      <family val="1"/>
    </font>
    <font>
      <b/>
      <sz val="12"/>
      <color indexed="8"/>
      <name val="Times New Roman"/>
      <family val="1"/>
    </font>
    <font>
      <sz val="13"/>
      <name val="Times New Roman"/>
      <family val="1"/>
    </font>
    <font>
      <b/>
      <sz val="9"/>
      <color indexed="8"/>
      <name val="Tahoma"/>
      <family val="2"/>
    </font>
    <font>
      <sz val="9"/>
      <color indexed="8"/>
      <name val="Tahoma"/>
      <family val="2"/>
    </font>
    <font>
      <b/>
      <sz val="11"/>
      <name val="Arial"/>
      <family val="2"/>
    </font>
    <font>
      <sz val="11"/>
      <name val="Arial"/>
      <family val="2"/>
    </font>
    <font>
      <sz val="10"/>
      <color indexed="8"/>
      <name val="Arial"/>
      <family val="2"/>
    </font>
    <font>
      <sz val="10"/>
      <color indexed="8"/>
      <name val="Arial"/>
      <family val="2"/>
    </font>
    <font>
      <b/>
      <sz val="11"/>
      <color indexed="9"/>
      <name val="Arial"/>
      <family val="2"/>
    </font>
    <font>
      <b/>
      <sz val="10"/>
      <color indexed="9"/>
      <name val="Arial"/>
      <family val="2"/>
    </font>
    <font>
      <b/>
      <sz val="10"/>
      <color indexed="10"/>
      <name val="Arial"/>
      <family val="2"/>
    </font>
    <font>
      <sz val="12"/>
      <name val="Arial"/>
      <family val="2"/>
    </font>
    <font>
      <sz val="20"/>
      <color indexed="8"/>
      <name val="Arial"/>
      <family val="2"/>
    </font>
    <font>
      <b/>
      <sz val="12"/>
      <name val="Arial"/>
      <family val="2"/>
    </font>
    <font>
      <sz val="11"/>
      <color indexed="9"/>
      <name val="Arial"/>
      <family val="2"/>
    </font>
    <font>
      <sz val="10"/>
      <color indexed="9"/>
      <name val="Arial"/>
      <family val="2"/>
    </font>
    <font>
      <b/>
      <sz val="10"/>
      <color indexed="10"/>
      <name val="Arial"/>
      <family val="2"/>
    </font>
    <font>
      <sz val="9"/>
      <name val="DengXian"/>
      <family val="3"/>
      <charset val="134"/>
    </font>
    <font>
      <b/>
      <sz val="9"/>
      <color indexed="81"/>
      <name val="Tahoma"/>
      <family val="2"/>
    </font>
    <font>
      <sz val="9"/>
      <color indexed="81"/>
      <name val="Tahoma"/>
      <family val="2"/>
    </font>
    <font>
      <sz val="9"/>
      <color indexed="81"/>
      <name val="Tahoma"/>
      <charset val="1"/>
    </font>
    <font>
      <b/>
      <sz val="9"/>
      <color indexed="81"/>
      <name val="Tahoma"/>
      <charset val="1"/>
    </font>
    <font>
      <b/>
      <sz val="14"/>
      <name val="Times New Roman"/>
      <family val="1"/>
    </font>
    <font>
      <b/>
      <sz val="9"/>
      <color indexed="81"/>
      <name val="Tahoma"/>
      <family val="2"/>
      <charset val="163"/>
    </font>
    <font>
      <sz val="9"/>
      <color indexed="81"/>
      <name val="Tahoma"/>
      <family val="2"/>
      <charset val="163"/>
    </font>
    <font>
      <b/>
      <i/>
      <sz val="13"/>
      <name val="Times New Roman"/>
      <family val="1"/>
    </font>
    <font>
      <i/>
      <sz val="13"/>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rgb="FF000099"/>
      <name val="Arial"/>
      <family val="2"/>
    </font>
    <font>
      <sz val="10"/>
      <color rgb="FF000099"/>
      <name val="Arial"/>
      <family val="2"/>
    </font>
    <font>
      <b/>
      <sz val="12"/>
      <color rgb="FF000099"/>
      <name val="Arial"/>
      <family val="2"/>
    </font>
    <font>
      <b/>
      <sz val="10"/>
      <color rgb="FFFF0000"/>
      <name val="Arial"/>
      <family val="2"/>
    </font>
    <font>
      <sz val="11"/>
      <color rgb="FFFF0000"/>
      <name val="Arial"/>
      <family val="2"/>
    </font>
    <font>
      <b/>
      <sz val="11"/>
      <color rgb="FF000099"/>
      <name val="Arial"/>
      <family val="2"/>
    </font>
    <font>
      <b/>
      <sz val="20"/>
      <color rgb="FF000099"/>
      <name val="Bauhaus 93"/>
      <family val="5"/>
    </font>
    <font>
      <sz val="20"/>
      <color rgb="FF000099"/>
      <name val="Arial"/>
      <family val="2"/>
    </font>
    <font>
      <sz val="20"/>
      <color rgb="FFFF0000"/>
      <name val="Arial"/>
      <family val="2"/>
    </font>
    <font>
      <b/>
      <sz val="11"/>
      <color theme="1"/>
      <name val="Arial"/>
      <family val="2"/>
    </font>
    <font>
      <b/>
      <sz val="11"/>
      <color rgb="FFFF0000"/>
      <name val="Arial"/>
      <family val="2"/>
    </font>
    <font>
      <b/>
      <sz val="10"/>
      <color rgb="FF002060"/>
      <name val="Arial"/>
      <family val="2"/>
    </font>
    <font>
      <sz val="10"/>
      <color rgb="FFC00000"/>
      <name val="Calibri"/>
      <family val="2"/>
      <scheme val="minor"/>
    </font>
    <font>
      <sz val="10"/>
      <name val="Calibri"/>
      <family val="2"/>
      <scheme val="minor"/>
    </font>
    <font>
      <sz val="10"/>
      <color rgb="FFFF0000"/>
      <name val="Calibri"/>
      <family val="2"/>
      <scheme val="minor"/>
    </font>
    <font>
      <sz val="13"/>
      <color theme="0"/>
      <name val="Times New Roman"/>
      <family val="1"/>
    </font>
    <font>
      <b/>
      <sz val="13"/>
      <color theme="1"/>
      <name val="Times New Roman"/>
      <family val="1"/>
    </font>
    <font>
      <b/>
      <sz val="13"/>
      <color rgb="FFFF0000"/>
      <name val="Times New Roman"/>
      <family val="1"/>
    </font>
    <font>
      <sz val="13"/>
      <color theme="1"/>
      <name val="Times New Roman"/>
      <family val="1"/>
    </font>
    <font>
      <sz val="13"/>
      <color rgb="FFFF0000"/>
      <name val="Times New Roman"/>
      <family val="1"/>
    </font>
    <font>
      <i/>
      <sz val="13"/>
      <color rgb="FFC00000"/>
      <name val="Times New Roman"/>
      <family val="1"/>
    </font>
    <font>
      <b/>
      <sz val="10"/>
      <color theme="3"/>
      <name val="Cambria"/>
      <family val="2"/>
      <scheme val="major"/>
    </font>
    <font>
      <b/>
      <u/>
      <sz val="10"/>
      <color rgb="FF000000"/>
      <name val="Calibri"/>
      <family val="2"/>
      <scheme val="minor"/>
    </font>
    <font>
      <b/>
      <sz val="10"/>
      <color rgb="FFC00000"/>
      <name val="Cambria"/>
      <family val="2"/>
      <scheme val="major"/>
    </font>
    <font>
      <b/>
      <sz val="10"/>
      <color rgb="FFFF0000"/>
      <name val="Cambria"/>
      <family val="2"/>
      <scheme val="major"/>
    </font>
    <font>
      <b/>
      <sz val="10"/>
      <color theme="2"/>
      <name val="Calibri"/>
      <family val="2"/>
      <scheme val="minor"/>
    </font>
    <font>
      <b/>
      <sz val="10"/>
      <color rgb="FFC00000"/>
      <name val="Calibri"/>
      <family val="2"/>
      <scheme val="minor"/>
    </font>
    <font>
      <i/>
      <sz val="10"/>
      <color rgb="FFC00000"/>
      <name val="Calibri"/>
      <family val="2"/>
      <scheme val="minor"/>
    </font>
    <font>
      <sz val="10"/>
      <color theme="2" tint="-0.249977111117893"/>
      <name val="Calibri"/>
      <family val="2"/>
      <scheme val="minor"/>
    </font>
    <font>
      <sz val="10"/>
      <color theme="1"/>
      <name val="Arial"/>
      <family val="2"/>
    </font>
    <font>
      <b/>
      <sz val="10"/>
      <color theme="3"/>
      <name val="Arial"/>
      <family val="2"/>
    </font>
    <font>
      <b/>
      <sz val="10"/>
      <color theme="2"/>
      <name val="Arial"/>
      <family val="2"/>
    </font>
    <font>
      <sz val="8"/>
      <name val="Calibri"/>
      <family val="2"/>
      <scheme val="minor"/>
    </font>
    <font>
      <i/>
      <sz val="9"/>
      <color rgb="FFC00000"/>
      <name val="Arial"/>
      <family val="2"/>
    </font>
    <font>
      <b/>
      <i/>
      <sz val="9"/>
      <color rgb="FFC00000"/>
      <name val="Cambria"/>
      <family val="1"/>
      <scheme val="major"/>
    </font>
    <font>
      <i/>
      <sz val="9"/>
      <color theme="1"/>
      <name val="Cambria"/>
      <family val="1"/>
      <scheme val="major"/>
    </font>
    <font>
      <i/>
      <sz val="9"/>
      <color theme="1" tint="0.499984740745262"/>
      <name val="Arial"/>
      <family val="2"/>
    </font>
    <font>
      <sz val="10"/>
      <color theme="1" tint="0.499984740745262"/>
      <name val="Cambria"/>
      <family val="2"/>
      <scheme val="major"/>
    </font>
    <font>
      <i/>
      <sz val="9"/>
      <color theme="1" tint="0.499984740745262"/>
      <name val="Cambria"/>
      <family val="1"/>
      <scheme val="major"/>
    </font>
    <font>
      <sz val="10"/>
      <color theme="1"/>
      <name val="Cambria"/>
      <family val="2"/>
      <scheme val="major"/>
    </font>
    <font>
      <i/>
      <sz val="9"/>
      <color theme="1"/>
      <name val="Cambria"/>
      <family val="2"/>
      <scheme val="major"/>
    </font>
    <font>
      <i/>
      <sz val="9"/>
      <color theme="1" tint="0.499984740745262"/>
      <name val="Cambria"/>
      <family val="2"/>
      <scheme val="major"/>
    </font>
    <font>
      <sz val="10"/>
      <color rgb="FFFF0000"/>
      <name val="Arial"/>
      <family val="2"/>
    </font>
    <font>
      <sz val="10"/>
      <color theme="9" tint="0.39997558519241921"/>
      <name val="Arial"/>
      <family val="2"/>
    </font>
    <font>
      <b/>
      <sz val="10"/>
      <color theme="9" tint="0.39997558519241921"/>
      <name val="Arial"/>
      <family val="2"/>
    </font>
    <font>
      <sz val="12"/>
      <color rgb="FFFF0000"/>
      <name val="Arial"/>
      <family val="2"/>
    </font>
  </fonts>
  <fills count="5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808080"/>
        <bgColor indexed="64"/>
      </patternFill>
    </fill>
    <fill>
      <patternFill patternType="solid">
        <fgColor rgb="FF9BC2E6"/>
        <bgColor indexed="64"/>
      </patternFill>
    </fill>
    <fill>
      <patternFill patternType="solid">
        <fgColor theme="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3" tint="-0.249977111117893"/>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rgb="FF46647B"/>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FFFF"/>
        <bgColor indexed="64"/>
      </patternFill>
    </fill>
  </fills>
  <borders count="155">
    <border>
      <left/>
      <right/>
      <top/>
      <bottom/>
      <diagonal/>
    </border>
    <border>
      <left style="medium">
        <color indexed="0"/>
      </left>
      <right style="medium">
        <color indexed="0"/>
      </right>
      <top style="medium">
        <color indexed="0"/>
      </top>
      <bottom style="medium">
        <color indexed="0"/>
      </bottom>
      <diagonal/>
    </border>
    <border>
      <left style="medium">
        <color indexed="0"/>
      </left>
      <right style="medium">
        <color indexed="0"/>
      </right>
      <top/>
      <bottom/>
      <diagonal/>
    </border>
    <border>
      <left style="medium">
        <color indexed="0"/>
      </left>
      <right style="thin">
        <color indexed="0"/>
      </right>
      <top style="medium">
        <color indexed="0"/>
      </top>
      <bottom/>
      <diagonal/>
    </border>
    <border>
      <left style="thin">
        <color indexed="0"/>
      </left>
      <right style="thin">
        <color indexed="0"/>
      </right>
      <top style="medium">
        <color indexed="0"/>
      </top>
      <bottom/>
      <diagonal/>
    </border>
    <border>
      <left style="thin">
        <color indexed="0"/>
      </left>
      <right style="medium">
        <color indexed="0"/>
      </right>
      <top style="medium">
        <color indexed="0"/>
      </top>
      <bottom/>
      <diagonal/>
    </border>
    <border>
      <left style="thin">
        <color indexed="0"/>
      </left>
      <right/>
      <top style="medium">
        <color indexed="0"/>
      </top>
      <bottom/>
      <diagonal/>
    </border>
    <border>
      <left style="medium">
        <color indexed="0"/>
      </left>
      <right style="medium">
        <color indexed="0"/>
      </right>
      <top style="medium">
        <color indexed="0"/>
      </top>
      <bottom style="thin">
        <color indexed="0"/>
      </bottom>
      <diagonal/>
    </border>
    <border>
      <left style="medium">
        <color indexed="0"/>
      </left>
      <right style="thin">
        <color indexed="0"/>
      </right>
      <top style="medium">
        <color indexed="0"/>
      </top>
      <bottom style="thin">
        <color indexed="0"/>
      </bottom>
      <diagonal/>
    </border>
    <border>
      <left style="thin">
        <color indexed="0"/>
      </left>
      <right style="thin">
        <color indexed="0"/>
      </right>
      <top style="medium">
        <color indexed="0"/>
      </top>
      <bottom style="thin">
        <color indexed="0"/>
      </bottom>
      <diagonal/>
    </border>
    <border>
      <left style="thin">
        <color indexed="0"/>
      </left>
      <right/>
      <top style="medium">
        <color indexed="0"/>
      </top>
      <bottom style="thin">
        <color indexed="0"/>
      </bottom>
      <diagonal/>
    </border>
    <border>
      <left style="thin">
        <color indexed="0"/>
      </left>
      <right style="medium">
        <color indexed="0"/>
      </right>
      <top style="medium">
        <color indexed="0"/>
      </top>
      <bottom style="thin">
        <color indexed="0"/>
      </bottom>
      <diagonal/>
    </border>
    <border>
      <left style="medium">
        <color indexed="0"/>
      </left>
      <right style="medium">
        <color indexed="0"/>
      </right>
      <top/>
      <bottom style="thin">
        <color indexed="0"/>
      </bottom>
      <diagonal/>
    </border>
    <border>
      <left style="medium">
        <color indexed="0"/>
      </left>
      <right style="thin">
        <color indexed="0"/>
      </right>
      <top/>
      <bottom style="thin">
        <color indexed="0"/>
      </bottom>
      <diagonal/>
    </border>
    <border>
      <left style="medium">
        <color indexed="0"/>
      </left>
      <right style="medium">
        <color indexed="0"/>
      </right>
      <top style="thin">
        <color indexed="0"/>
      </top>
      <bottom style="medium">
        <color indexed="0"/>
      </bottom>
      <diagonal/>
    </border>
    <border>
      <left style="medium">
        <color indexed="0"/>
      </left>
      <right style="thin">
        <color indexed="0"/>
      </right>
      <top style="thin">
        <color indexed="0"/>
      </top>
      <bottom style="medium">
        <color indexed="0"/>
      </bottom>
      <diagonal/>
    </border>
    <border>
      <left style="medium">
        <color indexed="0"/>
      </left>
      <right/>
      <top style="medium">
        <color indexed="0"/>
      </top>
      <bottom/>
      <diagonal/>
    </border>
    <border>
      <left/>
      <right/>
      <top style="medium">
        <color indexed="0"/>
      </top>
      <bottom/>
      <diagonal/>
    </border>
    <border>
      <left/>
      <right style="medium">
        <color indexed="0"/>
      </right>
      <top style="medium">
        <color indexed="0"/>
      </top>
      <bottom/>
      <diagonal/>
    </border>
    <border>
      <left style="medium">
        <color indexed="0"/>
      </left>
      <right style="thin">
        <color indexed="0"/>
      </right>
      <top/>
      <bottom/>
      <diagonal/>
    </border>
    <border>
      <left style="medium">
        <color indexed="0"/>
      </left>
      <right style="medium">
        <color indexed="0"/>
      </right>
      <top style="thin">
        <color indexed="0"/>
      </top>
      <bottom/>
      <diagonal/>
    </border>
    <border>
      <left style="medium">
        <color indexed="0"/>
      </left>
      <right style="thin">
        <color indexed="0"/>
      </right>
      <top style="thin">
        <color indexed="0"/>
      </top>
      <bottom/>
      <diagonal/>
    </border>
    <border>
      <left style="medium">
        <color indexed="0"/>
      </left>
      <right style="thin">
        <color indexed="0"/>
      </right>
      <top style="medium">
        <color indexed="0"/>
      </top>
      <bottom style="medium">
        <color indexed="0"/>
      </bottom>
      <diagonal/>
    </border>
    <border>
      <left style="thin">
        <color indexed="0"/>
      </left>
      <right style="thin">
        <color indexed="0"/>
      </right>
      <top style="medium">
        <color indexed="0"/>
      </top>
      <bottom style="medium">
        <color indexed="0"/>
      </bottom>
      <diagonal/>
    </border>
    <border>
      <left style="thin">
        <color indexed="0"/>
      </left>
      <right/>
      <top style="medium">
        <color indexed="0"/>
      </top>
      <bottom style="medium">
        <color indexed="0"/>
      </bottom>
      <diagonal/>
    </border>
    <border>
      <left style="thin">
        <color indexed="0"/>
      </left>
      <right style="medium">
        <color indexed="0"/>
      </right>
      <top style="medium">
        <color indexed="0"/>
      </top>
      <bottom style="medium">
        <color indexed="0"/>
      </bottom>
      <diagonal/>
    </border>
    <border>
      <left style="thin">
        <color indexed="0"/>
      </left>
      <right style="thin">
        <color indexed="0"/>
      </right>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64"/>
      </right>
      <top style="thin">
        <color indexed="0"/>
      </top>
      <bottom style="thin">
        <color indexed="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thin">
        <color indexed="64"/>
      </right>
      <top style="medium">
        <color indexed="64"/>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style="thin">
        <color indexed="0"/>
      </left>
      <right style="thin">
        <color indexed="64"/>
      </right>
      <top/>
      <bottom style="thin">
        <color indexed="0"/>
      </bottom>
      <diagonal/>
    </border>
    <border>
      <left style="hair">
        <color indexed="64"/>
      </left>
      <right/>
      <top/>
      <bottom style="hair">
        <color indexed="64"/>
      </bottom>
      <diagonal/>
    </border>
    <border>
      <left style="hair">
        <color indexed="64"/>
      </left>
      <right/>
      <top style="hair">
        <color indexed="64"/>
      </top>
      <bottom/>
      <diagonal/>
    </border>
    <border>
      <left style="thin">
        <color indexed="0"/>
      </left>
      <right/>
      <top/>
      <bottom style="thin">
        <color indexed="0"/>
      </bottom>
      <diagonal/>
    </border>
    <border>
      <left style="thin">
        <color indexed="0"/>
      </left>
      <right/>
      <top style="thin">
        <color indexed="0"/>
      </top>
      <bottom style="thin">
        <color indexed="0"/>
      </bottom>
      <diagonal/>
    </border>
    <border>
      <left/>
      <right/>
      <top/>
      <bottom style="thin">
        <color indexed="0"/>
      </bottom>
      <diagonal/>
    </border>
    <border>
      <left style="medium">
        <color indexed="64"/>
      </left>
      <right style="thin">
        <color indexed="64"/>
      </right>
      <top/>
      <bottom/>
      <diagonal/>
    </border>
    <border>
      <left style="medium">
        <color indexed="64"/>
      </left>
      <right style="medium">
        <color indexed="64"/>
      </right>
      <top/>
      <bottom/>
      <diagonal/>
    </border>
    <border>
      <left style="thin">
        <color indexed="64"/>
      </left>
      <right style="medium">
        <color indexed="64"/>
      </right>
      <top style="thin">
        <color indexed="0"/>
      </top>
      <bottom style="thin">
        <color indexed="0"/>
      </bottom>
      <diagonal/>
    </border>
    <border>
      <left/>
      <right style="thin">
        <color indexed="64"/>
      </right>
      <top style="medium">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thin">
        <color indexed="64"/>
      </bottom>
      <diagonal/>
    </border>
    <border>
      <left style="thin">
        <color indexed="0"/>
      </left>
      <right style="thin">
        <color indexed="0"/>
      </right>
      <top style="thin">
        <color indexed="0"/>
      </top>
      <bottom/>
      <diagonal/>
    </border>
    <border>
      <left style="thin">
        <color indexed="0"/>
      </left>
      <right style="thin">
        <color indexed="0"/>
      </right>
      <top/>
      <bottom style="medium">
        <color indexed="0"/>
      </bottom>
      <diagonal/>
    </border>
    <border>
      <left style="thin">
        <color indexed="0"/>
      </left>
      <right/>
      <top style="thin">
        <color indexed="0"/>
      </top>
      <bottom/>
      <diagonal/>
    </border>
    <border>
      <left style="thin">
        <color indexed="0"/>
      </left>
      <right/>
      <top/>
      <bottom style="medium">
        <color indexed="0"/>
      </bottom>
      <diagonal/>
    </border>
    <border>
      <left style="medium">
        <color indexed="0"/>
      </left>
      <right/>
      <top style="medium">
        <color indexed="0"/>
      </top>
      <bottom style="medium">
        <color indexed="0"/>
      </bottom>
      <diagonal/>
    </border>
    <border>
      <left/>
      <right/>
      <top style="medium">
        <color indexed="0"/>
      </top>
      <bottom style="medium">
        <color indexed="0"/>
      </bottom>
      <diagonal/>
    </border>
    <border>
      <left/>
      <right style="medium">
        <color indexed="0"/>
      </right>
      <top style="medium">
        <color indexed="0"/>
      </top>
      <bottom style="medium">
        <color indexed="0"/>
      </bottom>
      <diagonal/>
    </border>
    <border>
      <left/>
      <right/>
      <top/>
      <bottom style="medium">
        <color indexed="0"/>
      </bottom>
      <diagonal/>
    </border>
    <border>
      <left style="thin">
        <color indexed="0"/>
      </left>
      <right style="medium">
        <color indexed="0"/>
      </right>
      <top style="thin">
        <color indexed="0"/>
      </top>
      <bottom/>
      <diagonal/>
    </border>
    <border>
      <left style="thin">
        <color indexed="0"/>
      </left>
      <right style="medium">
        <color indexed="0"/>
      </right>
      <top/>
      <bottom style="medium">
        <color indexed="0"/>
      </bottom>
      <diagonal/>
    </border>
    <border>
      <left/>
      <right style="thin">
        <color indexed="0"/>
      </right>
      <top style="medium">
        <color indexed="0"/>
      </top>
      <bottom style="medium">
        <color indexed="0"/>
      </bottom>
      <diagonal/>
    </border>
    <border>
      <left style="medium">
        <color indexed="0"/>
      </left>
      <right/>
      <top/>
      <bottom/>
      <diagonal/>
    </border>
    <border>
      <left/>
      <right style="medium">
        <color indexed="0"/>
      </right>
      <top/>
      <bottom/>
      <diagonal/>
    </border>
    <border>
      <left style="medium">
        <color indexed="0"/>
      </left>
      <right style="medium">
        <color indexed="0"/>
      </right>
      <top style="medium">
        <color indexed="0"/>
      </top>
      <bottom/>
      <diagonal/>
    </border>
    <border>
      <left style="medium">
        <color indexed="0"/>
      </left>
      <right style="medium">
        <color indexed="0"/>
      </right>
      <top/>
      <bottom style="medium">
        <color indexed="0"/>
      </bottom>
      <diagonal/>
    </border>
    <border>
      <left style="thin">
        <color indexed="0"/>
      </left>
      <right style="thin">
        <color indexed="0"/>
      </right>
      <top/>
      <bottom/>
      <diagonal/>
    </border>
    <border>
      <left style="thin">
        <color indexed="0"/>
      </left>
      <right/>
      <top/>
      <bottom/>
      <diagonal/>
    </border>
    <border>
      <left/>
      <right/>
      <top style="thin">
        <color indexed="0"/>
      </top>
      <bottom style="thin">
        <color indexed="0"/>
      </bottom>
      <diagonal/>
    </border>
    <border>
      <left/>
      <right style="medium">
        <color indexed="64"/>
      </right>
      <top style="thin">
        <color indexed="0"/>
      </top>
      <bottom style="thin">
        <color indexed="0"/>
      </bottom>
      <diagonal/>
    </border>
    <border>
      <left style="thin">
        <color indexed="64"/>
      </left>
      <right style="thin">
        <color indexed="64"/>
      </right>
      <top style="medium">
        <color indexed="64"/>
      </top>
      <bottom style="thin">
        <color indexed="64"/>
      </bottom>
      <diagonal/>
    </border>
    <border>
      <left style="thin">
        <color indexed="0"/>
      </left>
      <right/>
      <top style="thin">
        <color indexed="64"/>
      </top>
      <bottom/>
      <diagonal/>
    </border>
    <border>
      <left/>
      <right style="thin">
        <color indexed="0"/>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style="dashed">
        <color theme="1"/>
      </bottom>
      <diagonal/>
    </border>
    <border>
      <left/>
      <right style="thin">
        <color indexed="64"/>
      </right>
      <top style="thin">
        <color indexed="64"/>
      </top>
      <bottom style="dashed">
        <color theme="1"/>
      </bottom>
      <diagonal/>
    </border>
    <border>
      <left/>
      <right style="thin">
        <color theme="1"/>
      </right>
      <top style="dashed">
        <color theme="1"/>
      </top>
      <bottom style="dashed">
        <color theme="1"/>
      </bottom>
      <diagonal/>
    </border>
    <border>
      <left style="thin">
        <color theme="1"/>
      </left>
      <right style="thin">
        <color theme="1"/>
      </right>
      <top style="dashed">
        <color theme="1"/>
      </top>
      <bottom style="dashed">
        <color theme="1"/>
      </bottom>
      <diagonal/>
    </border>
    <border>
      <left style="thin">
        <color theme="1"/>
      </left>
      <right/>
      <top style="dashed">
        <color theme="1"/>
      </top>
      <bottom style="dashed">
        <color theme="1"/>
      </bottom>
      <diagonal/>
    </border>
    <border>
      <left style="thin">
        <color indexed="64"/>
      </left>
      <right style="thin">
        <color indexed="64"/>
      </right>
      <top style="thin">
        <color indexed="64"/>
      </top>
      <bottom style="dashed">
        <color theme="1"/>
      </bottom>
      <diagonal/>
    </border>
    <border>
      <left style="thin">
        <color theme="1"/>
      </left>
      <right style="medium">
        <color indexed="64"/>
      </right>
      <top style="dashed">
        <color theme="1"/>
      </top>
      <bottom style="dashed">
        <color theme="1"/>
      </bottom>
      <diagonal/>
    </border>
    <border>
      <left style="medium">
        <color indexed="64"/>
      </left>
      <right/>
      <top style="dashed">
        <color theme="1"/>
      </top>
      <bottom style="dashed">
        <color theme="1"/>
      </bottom>
      <diagonal/>
    </border>
    <border>
      <left style="thin">
        <color indexed="64"/>
      </left>
      <right/>
      <top/>
      <bottom style="dashed">
        <color theme="1"/>
      </bottom>
      <diagonal/>
    </border>
    <border>
      <left style="thin">
        <color indexed="64"/>
      </left>
      <right style="thin">
        <color indexed="64"/>
      </right>
      <top style="dashed">
        <color theme="1"/>
      </top>
      <bottom style="dashed">
        <color theme="1"/>
      </bottom>
      <diagonal/>
    </border>
    <border>
      <left/>
      <right/>
      <top style="dashed">
        <color theme="1"/>
      </top>
      <bottom style="dashed">
        <color theme="1"/>
      </bottom>
      <diagonal/>
    </border>
    <border>
      <left style="thin">
        <color indexed="64"/>
      </left>
      <right/>
      <top style="dashed">
        <color theme="1"/>
      </top>
      <bottom style="dashed">
        <color theme="1"/>
      </bottom>
      <diagonal/>
    </border>
    <border>
      <left style="thin">
        <color theme="2"/>
      </left>
      <right/>
      <top/>
      <bottom/>
      <diagonal/>
    </border>
    <border>
      <left/>
      <right style="thin">
        <color theme="2"/>
      </right>
      <top/>
      <bottom/>
      <diagonal/>
    </border>
    <border>
      <left/>
      <right/>
      <top/>
      <bottom style="dashed">
        <color theme="1"/>
      </bottom>
      <diagonal/>
    </border>
    <border>
      <left/>
      <right style="medium">
        <color indexed="64"/>
      </right>
      <top/>
      <bottom style="dashed">
        <color theme="1"/>
      </bottom>
      <diagonal/>
    </border>
    <border>
      <left/>
      <right style="medium">
        <color indexed="64"/>
      </right>
      <top style="dashed">
        <color theme="1"/>
      </top>
      <bottom style="dashed">
        <color theme="1"/>
      </bottom>
      <diagonal/>
    </border>
    <border>
      <left style="thin">
        <color indexed="64"/>
      </left>
      <right style="thin">
        <color indexed="64"/>
      </right>
      <top/>
      <bottom style="dotted">
        <color indexed="64"/>
      </bottom>
      <diagonal/>
    </border>
  </borders>
  <cellStyleXfs count="54">
    <xf numFmtId="0" fontId="0" fillId="0" borderId="0"/>
    <xf numFmtId="0" fontId="33" fillId="2" borderId="0" applyNumberFormat="0" applyBorder="0" applyAlignment="0" applyProtection="0"/>
    <xf numFmtId="0" fontId="33" fillId="3" borderId="0" applyNumberFormat="0" applyBorder="0" applyAlignment="0" applyProtection="0"/>
    <xf numFmtId="0" fontId="33" fillId="4" borderId="0" applyNumberFormat="0" applyBorder="0" applyAlignment="0" applyProtection="0"/>
    <xf numFmtId="0" fontId="33" fillId="5" borderId="0" applyNumberFormat="0" applyBorder="0" applyAlignment="0" applyProtection="0"/>
    <xf numFmtId="0" fontId="33" fillId="6" borderId="0" applyNumberFormat="0" applyBorder="0" applyAlignment="0" applyProtection="0"/>
    <xf numFmtId="0" fontId="33" fillId="7" borderId="0" applyNumberFormat="0" applyBorder="0" applyAlignment="0" applyProtection="0"/>
    <xf numFmtId="0" fontId="33" fillId="8"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34" fillId="24" borderId="0" applyNumberFormat="0" applyBorder="0" applyAlignment="0" applyProtection="0"/>
    <xf numFmtId="0" fontId="34" fillId="25" borderId="0" applyNumberFormat="0" applyBorder="0" applyAlignment="0" applyProtection="0"/>
    <xf numFmtId="0" fontId="35" fillId="26" borderId="0" applyNumberFormat="0" applyBorder="0" applyAlignment="0" applyProtection="0"/>
    <xf numFmtId="0" fontId="36" fillId="27" borderId="128" applyNumberFormat="0" applyAlignment="0" applyProtection="0"/>
    <xf numFmtId="0" fontId="37" fillId="28" borderId="129" applyNumberFormat="0" applyAlignment="0" applyProtection="0"/>
    <xf numFmtId="43" fontId="1" fillId="0" borderId="0" applyFont="0" applyFill="0" applyBorder="0" applyAlignment="0" applyProtection="0"/>
    <xf numFmtId="43" fontId="4" fillId="0" borderId="0" applyFont="0" applyFill="0" applyBorder="0" applyAlignment="0" applyProtection="0"/>
    <xf numFmtId="0" fontId="38" fillId="0" borderId="0" applyNumberFormat="0" applyFill="0" applyBorder="0" applyAlignment="0" applyProtection="0"/>
    <xf numFmtId="0" fontId="39" fillId="29" borderId="0" applyNumberFormat="0" applyBorder="0" applyAlignment="0" applyProtection="0"/>
    <xf numFmtId="0" fontId="40" fillId="0" borderId="130" applyNumberFormat="0" applyFill="0" applyAlignment="0" applyProtection="0"/>
    <xf numFmtId="0" fontId="41" fillId="0" borderId="131" applyNumberFormat="0" applyFill="0" applyAlignment="0" applyProtection="0"/>
    <xf numFmtId="0" fontId="42" fillId="0" borderId="132" applyNumberFormat="0" applyFill="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30" borderId="128" applyNumberFormat="0" applyAlignment="0" applyProtection="0"/>
    <xf numFmtId="0" fontId="45" fillId="0" borderId="133" applyNumberFormat="0" applyFill="0" applyAlignment="0" applyProtection="0"/>
    <xf numFmtId="0" fontId="46" fillId="31" borderId="0" applyNumberFormat="0" applyBorder="0" applyAlignment="0" applyProtection="0"/>
    <xf numFmtId="0" fontId="2" fillId="0" borderId="0">
      <alignment vertical="center"/>
    </xf>
    <xf numFmtId="0" fontId="4" fillId="0" borderId="0"/>
    <xf numFmtId="0" fontId="47" fillId="0" borderId="0"/>
    <xf numFmtId="0" fontId="12" fillId="0" borderId="0" applyNumberFormat="0" applyFill="0" applyBorder="0" applyAlignment="0" applyProtection="0"/>
    <xf numFmtId="0" fontId="4" fillId="0" borderId="0"/>
    <xf numFmtId="0" fontId="13" fillId="0" borderId="0" applyNumberFormat="0" applyFill="0" applyBorder="0" applyAlignment="0" applyProtection="0"/>
    <xf numFmtId="0" fontId="33" fillId="0" borderId="0"/>
    <xf numFmtId="0" fontId="33" fillId="32" borderId="134" applyNumberFormat="0" applyFont="0" applyAlignment="0" applyProtection="0"/>
    <xf numFmtId="0" fontId="48" fillId="27" borderId="135" applyNumberFormat="0" applyAlignment="0" applyProtection="0"/>
    <xf numFmtId="9" fontId="1" fillId="0" borderId="0" applyFont="0" applyFill="0" applyBorder="0" applyAlignment="0" applyProtection="0"/>
    <xf numFmtId="9" fontId="4" fillId="0" borderId="0" applyFont="0" applyFill="0" applyBorder="0" applyAlignment="0" applyProtection="0"/>
    <xf numFmtId="0" fontId="49" fillId="0" borderId="0" applyNumberFormat="0" applyFill="0" applyBorder="0" applyAlignment="0" applyProtection="0"/>
    <xf numFmtId="0" fontId="50" fillId="0" borderId="136" applyNumberFormat="0" applyFill="0" applyAlignment="0" applyProtection="0"/>
    <xf numFmtId="0" fontId="51" fillId="0" borderId="0" applyNumberFormat="0" applyFill="0" applyBorder="0" applyAlignment="0" applyProtection="0"/>
  </cellStyleXfs>
  <cellXfs count="468">
    <xf numFmtId="0" fontId="0" fillId="0" borderId="0" xfId="0"/>
    <xf numFmtId="0" fontId="3" fillId="0" borderId="0" xfId="0" applyFont="1"/>
    <xf numFmtId="164" fontId="3" fillId="0" borderId="0" xfId="28" applyNumberFormat="1" applyFont="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7"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164" fontId="3" fillId="0" borderId="9" xfId="28" applyNumberFormat="1" applyFont="1" applyBorder="1" applyAlignment="1">
      <alignment vertical="center"/>
    </xf>
    <xf numFmtId="164" fontId="3" fillId="0" borderId="10" xfId="28" applyNumberFormat="1" applyFont="1" applyBorder="1" applyAlignment="1">
      <alignment vertical="center"/>
    </xf>
    <xf numFmtId="164" fontId="3" fillId="0" borderId="11" xfId="28" applyNumberFormat="1" applyFont="1" applyBorder="1" applyAlignment="1">
      <alignment vertical="center"/>
    </xf>
    <xf numFmtId="0" fontId="6" fillId="0" borderId="2" xfId="0" applyFont="1" applyBorder="1" applyAlignment="1">
      <alignment horizontal="center" vertical="center" textRotation="45"/>
    </xf>
    <xf numFmtId="0" fontId="3" fillId="0" borderId="12" xfId="0" applyFont="1" applyBorder="1"/>
    <xf numFmtId="1" fontId="2" fillId="0" borderId="13" xfId="28" applyNumberFormat="1" applyFont="1" applyBorder="1" applyAlignment="1">
      <alignment horizontal="center" vertical="center"/>
    </xf>
    <xf numFmtId="0" fontId="3" fillId="0" borderId="14" xfId="0" applyFont="1" applyBorder="1"/>
    <xf numFmtId="1" fontId="2" fillId="33" borderId="15" xfId="28" applyNumberFormat="1" applyFont="1" applyFill="1" applyBorder="1" applyAlignment="1">
      <alignment horizontal="center" vertical="center"/>
    </xf>
    <xf numFmtId="0" fontId="6" fillId="0" borderId="16" xfId="0" applyFont="1" applyBorder="1" applyAlignment="1"/>
    <xf numFmtId="0" fontId="6" fillId="0" borderId="17" xfId="0" applyFont="1" applyBorder="1" applyAlignment="1"/>
    <xf numFmtId="164" fontId="6" fillId="0" borderId="17" xfId="0" applyNumberFormat="1" applyFont="1" applyBorder="1" applyAlignment="1"/>
    <xf numFmtId="164" fontId="6" fillId="0" borderId="18" xfId="0" applyNumberFormat="1" applyFont="1" applyBorder="1" applyAlignment="1"/>
    <xf numFmtId="0" fontId="3" fillId="0" borderId="7" xfId="0" applyFont="1" applyBorder="1" applyAlignment="1"/>
    <xf numFmtId="1" fontId="2" fillId="0" borderId="8" xfId="28" applyNumberFormat="1" applyFont="1" applyBorder="1" applyAlignment="1">
      <alignment horizontal="center" vertical="center"/>
    </xf>
    <xf numFmtId="1" fontId="2" fillId="0" borderId="9" xfId="28" applyNumberFormat="1" applyFont="1" applyBorder="1" applyAlignment="1">
      <alignment horizontal="center" vertical="center"/>
    </xf>
    <xf numFmtId="164" fontId="2" fillId="0" borderId="10" xfId="28" applyNumberFormat="1" applyFont="1" applyBorder="1" applyAlignment="1">
      <alignment horizontal="center" vertical="center"/>
    </xf>
    <xf numFmtId="164" fontId="2" fillId="0" borderId="11" xfId="28" applyNumberFormat="1" applyFont="1" applyBorder="1" applyAlignment="1">
      <alignment horizontal="center" vertical="center"/>
    </xf>
    <xf numFmtId="1" fontId="2" fillId="0" borderId="19" xfId="28" applyNumberFormat="1" applyFont="1" applyBorder="1" applyAlignment="1">
      <alignment horizontal="center" vertical="center"/>
    </xf>
    <xf numFmtId="0" fontId="3" fillId="0" borderId="20" xfId="0" applyFont="1" applyBorder="1"/>
    <xf numFmtId="1" fontId="2" fillId="33" borderId="21" xfId="28" applyNumberFormat="1" applyFont="1" applyFill="1" applyBorder="1" applyAlignment="1">
      <alignment horizontal="center" vertical="center"/>
    </xf>
    <xf numFmtId="0" fontId="3" fillId="0" borderId="22" xfId="0" applyFont="1" applyBorder="1"/>
    <xf numFmtId="43" fontId="3" fillId="0" borderId="23" xfId="28" applyNumberFormat="1" applyFont="1" applyBorder="1"/>
    <xf numFmtId="1" fontId="3" fillId="0" borderId="23" xfId="28" applyNumberFormat="1" applyFont="1" applyBorder="1" applyAlignment="1">
      <alignment horizontal="center"/>
    </xf>
    <xf numFmtId="164" fontId="3" fillId="0" borderId="23" xfId="28" applyNumberFormat="1" applyFont="1" applyBorder="1"/>
    <xf numFmtId="164" fontId="3" fillId="0" borderId="23" xfId="28" applyNumberFormat="1" applyFont="1" applyBorder="1" applyAlignment="1">
      <alignment horizontal="center"/>
    </xf>
    <xf numFmtId="1" fontId="3" fillId="0" borderId="23" xfId="0" applyNumberFormat="1" applyFont="1" applyBorder="1" applyAlignment="1">
      <alignment horizontal="center"/>
    </xf>
    <xf numFmtId="164" fontId="3" fillId="0" borderId="24" xfId="28" applyNumberFormat="1" applyFont="1" applyBorder="1"/>
    <xf numFmtId="164" fontId="3" fillId="0" borderId="22" xfId="28" applyNumberFormat="1" applyFont="1" applyBorder="1" applyAlignment="1">
      <alignment horizontal="center"/>
    </xf>
    <xf numFmtId="164" fontId="3" fillId="0" borderId="25" xfId="28" applyNumberFormat="1" applyFont="1" applyBorder="1"/>
    <xf numFmtId="0" fontId="3" fillId="0" borderId="0" xfId="0" applyFont="1" applyBorder="1"/>
    <xf numFmtId="43" fontId="3" fillId="0" borderId="0" xfId="28" applyNumberFormat="1" applyFont="1" applyBorder="1"/>
    <xf numFmtId="1" fontId="3" fillId="0" borderId="0" xfId="28" applyNumberFormat="1" applyFont="1" applyBorder="1" applyAlignment="1">
      <alignment horizontal="center"/>
    </xf>
    <xf numFmtId="164" fontId="3" fillId="0" borderId="0" xfId="28" applyNumberFormat="1" applyFont="1" applyBorder="1" applyAlignment="1">
      <alignment horizontal="center"/>
    </xf>
    <xf numFmtId="164" fontId="3" fillId="0" borderId="0" xfId="28" applyNumberFormat="1" applyFont="1" applyBorder="1"/>
    <xf numFmtId="0" fontId="3" fillId="0" borderId="0" xfId="0" applyFont="1" applyAlignment="1">
      <alignment horizontal="center" vertical="center"/>
    </xf>
    <xf numFmtId="43" fontId="3" fillId="0" borderId="0" xfId="28" applyNumberFormat="1" applyFont="1"/>
    <xf numFmtId="43" fontId="3" fillId="0" borderId="0" xfId="28" applyNumberFormat="1" applyFont="1" applyAlignment="1">
      <alignment horizontal="center" wrapText="1"/>
    </xf>
    <xf numFmtId="43" fontId="3" fillId="0" borderId="0" xfId="28" applyNumberFormat="1" applyFont="1" applyAlignment="1">
      <alignment vertical="center"/>
    </xf>
    <xf numFmtId="164" fontId="3" fillId="0" borderId="0" xfId="28" applyNumberFormat="1" applyFont="1" applyAlignment="1">
      <alignment horizontal="center"/>
    </xf>
    <xf numFmtId="164" fontId="3" fillId="0" borderId="0" xfId="0" applyNumberFormat="1" applyFont="1"/>
    <xf numFmtId="1" fontId="52" fillId="0" borderId="26" xfId="0" applyNumberFormat="1" applyFont="1" applyFill="1" applyBorder="1" applyAlignment="1" applyProtection="1">
      <alignment horizontal="center" vertical="center" wrapText="1"/>
    </xf>
    <xf numFmtId="164" fontId="15" fillId="34" borderId="27" xfId="0" applyNumberFormat="1" applyFont="1" applyFill="1" applyBorder="1" applyAlignment="1" applyProtection="1">
      <alignment horizontal="center" vertical="center" wrapText="1"/>
    </xf>
    <xf numFmtId="164" fontId="4" fillId="0" borderId="26" xfId="28" applyNumberFormat="1" applyFont="1" applyFill="1" applyBorder="1" applyAlignment="1" applyProtection="1">
      <alignment horizontal="center" vertical="center" wrapText="1"/>
    </xf>
    <xf numFmtId="164" fontId="14" fillId="34" borderId="27" xfId="28" applyNumberFormat="1" applyFont="1" applyFill="1" applyBorder="1" applyAlignment="1" applyProtection="1">
      <alignment horizontal="center" vertical="center" wrapText="1"/>
    </xf>
    <xf numFmtId="168" fontId="14" fillId="34" borderId="27" xfId="28" applyNumberFormat="1" applyFont="1" applyFill="1" applyBorder="1" applyAlignment="1" applyProtection="1">
      <alignment horizontal="center" vertical="center" wrapText="1"/>
    </xf>
    <xf numFmtId="0" fontId="0" fillId="0" borderId="0" xfId="0" applyFont="1" applyAlignment="1" applyProtection="1">
      <alignment vertical="center"/>
      <protection locked="0"/>
    </xf>
    <xf numFmtId="0" fontId="0" fillId="0" borderId="0" xfId="0" applyFont="1" applyAlignment="1" applyProtection="1">
      <alignment horizontal="center" vertical="center"/>
      <protection locked="0"/>
    </xf>
    <xf numFmtId="0" fontId="0" fillId="0" borderId="0" xfId="0" applyFont="1" applyFill="1" applyBorder="1" applyAlignment="1" applyProtection="1">
      <alignment vertical="center"/>
      <protection locked="0"/>
    </xf>
    <xf numFmtId="0" fontId="0" fillId="0" borderId="0" xfId="0" applyFont="1" applyFill="1" applyAlignment="1" applyProtection="1">
      <alignment vertical="center"/>
      <protection locked="0"/>
    </xf>
    <xf numFmtId="2" fontId="0" fillId="0" borderId="0" xfId="0" applyNumberFormat="1" applyFont="1" applyFill="1" applyAlignment="1" applyProtection="1">
      <alignment vertical="center"/>
      <protection locked="0"/>
    </xf>
    <xf numFmtId="0" fontId="4" fillId="35" borderId="26" xfId="0" applyNumberFormat="1" applyFont="1" applyFill="1" applyBorder="1" applyAlignment="1" applyProtection="1">
      <alignment horizontal="center" vertical="center" wrapText="1"/>
      <protection locked="0"/>
    </xf>
    <xf numFmtId="1" fontId="4" fillId="0" borderId="27" xfId="0" applyNumberFormat="1" applyFont="1" applyFill="1" applyBorder="1" applyAlignment="1" applyProtection="1">
      <alignment horizontal="center" vertical="center" wrapText="1"/>
      <protection locked="0"/>
    </xf>
    <xf numFmtId="164" fontId="4" fillId="0" borderId="27" xfId="28" applyNumberFormat="1" applyFont="1" applyFill="1" applyBorder="1" applyAlignment="1" applyProtection="1">
      <alignment vertical="center" wrapText="1"/>
      <protection locked="0"/>
    </xf>
    <xf numFmtId="165" fontId="4" fillId="0" borderId="28" xfId="49" applyNumberFormat="1" applyFont="1" applyFill="1" applyBorder="1" applyAlignment="1" applyProtection="1">
      <alignment horizontal="center" vertical="center" wrapText="1"/>
      <protection locked="0"/>
    </xf>
    <xf numFmtId="0" fontId="15" fillId="34" borderId="27" xfId="0" applyNumberFormat="1" applyFont="1" applyFill="1" applyBorder="1" applyAlignment="1" applyProtection="1">
      <alignment horizontal="center" vertical="center" wrapText="1"/>
      <protection locked="0"/>
    </xf>
    <xf numFmtId="164" fontId="15" fillId="34" borderId="28" xfId="0" applyNumberFormat="1" applyFont="1" applyFill="1" applyBorder="1" applyAlignment="1" applyProtection="1">
      <alignment horizontal="center" vertical="center" wrapText="1"/>
      <protection locked="0"/>
    </xf>
    <xf numFmtId="164" fontId="15" fillId="0" borderId="0" xfId="0" applyNumberFormat="1" applyFont="1" applyFill="1" applyBorder="1" applyAlignment="1" applyProtection="1">
      <alignment horizontal="center" vertical="center" wrapText="1"/>
      <protection locked="0"/>
    </xf>
    <xf numFmtId="164" fontId="52" fillId="0" borderId="26" xfId="28" applyNumberFormat="1" applyFont="1" applyFill="1" applyBorder="1" applyAlignment="1" applyProtection="1">
      <alignment horizontal="center" vertical="center" wrapText="1"/>
      <protection locked="0"/>
    </xf>
    <xf numFmtId="165" fontId="52" fillId="0" borderId="0" xfId="49" applyNumberFormat="1" applyFont="1" applyFill="1" applyBorder="1" applyAlignment="1" applyProtection="1">
      <alignment horizontal="center" vertical="center" wrapText="1"/>
      <protection locked="0"/>
    </xf>
    <xf numFmtId="0" fontId="10" fillId="0" borderId="26" xfId="0" quotePrefix="1" applyNumberFormat="1" applyFont="1" applyFill="1" applyBorder="1" applyAlignment="1" applyProtection="1">
      <alignment horizontal="left" vertical="center" wrapText="1"/>
      <protection locked="0"/>
    </xf>
    <xf numFmtId="164" fontId="4" fillId="0" borderId="0" xfId="28" applyNumberFormat="1" applyFont="1" applyFill="1" applyBorder="1" applyAlignment="1" applyProtection="1">
      <alignment horizontal="center" vertical="center" wrapText="1"/>
      <protection locked="0"/>
    </xf>
    <xf numFmtId="0" fontId="10" fillId="0" borderId="27" xfId="0" quotePrefix="1" applyNumberFormat="1" applyFont="1" applyFill="1" applyBorder="1" applyAlignment="1" applyProtection="1">
      <alignment horizontal="left" vertical="center" wrapText="1"/>
      <protection locked="0"/>
    </xf>
    <xf numFmtId="0" fontId="14" fillId="34" borderId="27" xfId="0" applyNumberFormat="1" applyFont="1" applyFill="1" applyBorder="1" applyAlignment="1" applyProtection="1">
      <alignment horizontal="center" vertical="center" wrapText="1"/>
      <protection locked="0"/>
    </xf>
    <xf numFmtId="165" fontId="15" fillId="34" borderId="27" xfId="49" applyNumberFormat="1" applyFont="1" applyFill="1" applyBorder="1" applyAlignment="1" applyProtection="1">
      <alignment horizontal="center" vertical="center" wrapText="1"/>
      <protection locked="0"/>
    </xf>
    <xf numFmtId="0" fontId="11" fillId="0" borderId="0" xfId="0" quotePrefix="1" applyNumberFormat="1" applyFont="1" applyFill="1" applyBorder="1" applyAlignment="1" applyProtection="1">
      <alignment vertical="center" wrapText="1"/>
      <protection locked="0"/>
    </xf>
    <xf numFmtId="0" fontId="11" fillId="0" borderId="0" xfId="0" quotePrefix="1" applyNumberFormat="1" applyFont="1" applyFill="1" applyBorder="1" applyAlignment="1" applyProtection="1">
      <alignment horizontal="left" vertical="center" wrapText="1"/>
      <protection locked="0"/>
    </xf>
    <xf numFmtId="0" fontId="0" fillId="36" borderId="0" xfId="0" applyFont="1" applyFill="1" applyAlignment="1" applyProtection="1">
      <alignment vertical="center"/>
      <protection locked="0"/>
    </xf>
    <xf numFmtId="165" fontId="52" fillId="37" borderId="26" xfId="49" applyNumberFormat="1" applyFont="1" applyFill="1" applyBorder="1" applyAlignment="1" applyProtection="1">
      <alignment horizontal="center" vertical="center" wrapText="1"/>
      <protection locked="0"/>
    </xf>
    <xf numFmtId="164" fontId="20" fillId="34" borderId="27" xfId="28" applyNumberFormat="1" applyFont="1" applyFill="1" applyBorder="1" applyAlignment="1" applyProtection="1">
      <alignment horizontal="center" vertical="center" wrapText="1"/>
    </xf>
    <xf numFmtId="9" fontId="53" fillId="36" borderId="26" xfId="49" applyFont="1" applyFill="1" applyBorder="1" applyAlignment="1" applyProtection="1">
      <alignment horizontal="center" vertical="center" wrapText="1"/>
      <protection locked="0"/>
    </xf>
    <xf numFmtId="1" fontId="52" fillId="0" borderId="26" xfId="0" applyNumberFormat="1" applyFont="1" applyFill="1" applyBorder="1" applyAlignment="1" applyProtection="1">
      <alignment horizontal="center" vertical="center" wrapText="1"/>
      <protection locked="0"/>
    </xf>
    <xf numFmtId="9" fontId="21" fillId="34" borderId="27" xfId="49" applyNumberFormat="1" applyFont="1" applyFill="1" applyBorder="1" applyAlignment="1" applyProtection="1">
      <alignment horizontal="center" vertical="center" wrapText="1"/>
      <protection locked="0"/>
    </xf>
    <xf numFmtId="2" fontId="0" fillId="0" borderId="0" xfId="0" applyNumberFormat="1" applyFont="1" applyAlignment="1" applyProtection="1">
      <alignment vertical="center"/>
      <protection locked="0"/>
    </xf>
    <xf numFmtId="0" fontId="0" fillId="0" borderId="0" xfId="0" quotePrefix="1" applyFont="1" applyAlignment="1" applyProtection="1">
      <alignment vertical="center"/>
      <protection locked="0"/>
    </xf>
    <xf numFmtId="165" fontId="4" fillId="36" borderId="26" xfId="49" applyNumberFormat="1" applyFont="1" applyFill="1" applyBorder="1" applyAlignment="1" applyProtection="1">
      <alignment horizontal="center" vertical="center" wrapText="1"/>
    </xf>
    <xf numFmtId="164" fontId="0" fillId="0" borderId="0" xfId="0" applyNumberFormat="1" applyFont="1" applyAlignment="1" applyProtection="1">
      <alignment horizontal="center" vertical="center"/>
    </xf>
    <xf numFmtId="164" fontId="52" fillId="37" borderId="26" xfId="28" applyNumberFormat="1" applyFont="1" applyFill="1" applyBorder="1" applyAlignment="1" applyProtection="1">
      <alignment vertical="center" wrapText="1"/>
      <protection locked="0"/>
    </xf>
    <xf numFmtId="0" fontId="54" fillId="37" borderId="27" xfId="0" applyNumberFormat="1" applyFont="1" applyFill="1" applyBorder="1" applyAlignment="1" applyProtection="1">
      <alignment horizontal="center" vertical="center" wrapText="1"/>
      <protection locked="0"/>
    </xf>
    <xf numFmtId="0" fontId="55" fillId="37" borderId="27" xfId="0" applyNumberFormat="1" applyFont="1" applyFill="1" applyBorder="1" applyAlignment="1" applyProtection="1">
      <alignment horizontal="center" vertical="center" wrapText="1"/>
      <protection locked="0"/>
    </xf>
    <xf numFmtId="167" fontId="11" fillId="38" borderId="29" xfId="0" applyNumberFormat="1" applyFont="1" applyFill="1" applyBorder="1" applyAlignment="1" applyProtection="1">
      <alignment horizontal="center" vertical="center"/>
      <protection locked="0"/>
    </xf>
    <xf numFmtId="167" fontId="56" fillId="39" borderId="29" xfId="0" applyNumberFormat="1" applyFont="1" applyFill="1" applyBorder="1" applyAlignment="1" applyProtection="1">
      <alignment horizontal="center" vertical="center"/>
      <protection locked="0"/>
    </xf>
    <xf numFmtId="3" fontId="52" fillId="36" borderId="30" xfId="0" applyNumberFormat="1" applyFont="1" applyFill="1" applyBorder="1" applyAlignment="1" applyProtection="1">
      <alignment vertical="center"/>
    </xf>
    <xf numFmtId="0" fontId="57" fillId="37" borderId="31" xfId="0" applyFont="1" applyFill="1" applyBorder="1" applyAlignment="1" applyProtection="1">
      <alignment horizontal="left" vertical="center"/>
      <protection locked="0"/>
    </xf>
    <xf numFmtId="167" fontId="57" fillId="37" borderId="31" xfId="0" applyNumberFormat="1" applyFont="1" applyFill="1" applyBorder="1" applyAlignment="1" applyProtection="1">
      <alignment horizontal="center" vertical="center"/>
      <protection locked="0"/>
    </xf>
    <xf numFmtId="164" fontId="58" fillId="0" borderId="31" xfId="28" applyNumberFormat="1" applyFont="1" applyFill="1" applyBorder="1" applyAlignment="1" applyProtection="1">
      <alignment horizontal="center" vertical="center"/>
    </xf>
    <xf numFmtId="0" fontId="59" fillId="0" borderId="32" xfId="0" applyNumberFormat="1" applyFont="1" applyFill="1" applyBorder="1" applyAlignment="1" applyProtection="1">
      <alignment horizontal="left" vertical="center"/>
      <protection locked="0"/>
    </xf>
    <xf numFmtId="0" fontId="57" fillId="37" borderId="33" xfId="0" applyFont="1" applyFill="1" applyBorder="1" applyAlignment="1" applyProtection="1">
      <alignment horizontal="left" vertical="center"/>
      <protection locked="0"/>
    </xf>
    <xf numFmtId="167" fontId="57" fillId="37" borderId="33" xfId="0" applyNumberFormat="1" applyFont="1" applyFill="1" applyBorder="1" applyAlignment="1" applyProtection="1">
      <alignment horizontal="center" vertical="center"/>
      <protection locked="0"/>
    </xf>
    <xf numFmtId="164" fontId="58" fillId="0" borderId="33" xfId="28" applyNumberFormat="1" applyFont="1" applyFill="1" applyBorder="1" applyAlignment="1" applyProtection="1">
      <alignment horizontal="center" vertical="center"/>
    </xf>
    <xf numFmtId="0" fontId="59" fillId="0" borderId="34" xfId="0" applyNumberFormat="1" applyFont="1" applyFill="1" applyBorder="1" applyAlignment="1" applyProtection="1">
      <alignment horizontal="left" vertical="center"/>
      <protection locked="0"/>
    </xf>
    <xf numFmtId="0" fontId="60" fillId="0" borderId="34" xfId="0" applyNumberFormat="1" applyFont="1" applyFill="1" applyBorder="1" applyAlignment="1" applyProtection="1">
      <alignment horizontal="left" vertical="center"/>
      <protection locked="0"/>
    </xf>
    <xf numFmtId="166" fontId="57" fillId="37" borderId="33" xfId="0" applyNumberFormat="1" applyFont="1" applyFill="1" applyBorder="1" applyAlignment="1" applyProtection="1">
      <alignment horizontal="left" vertical="center"/>
      <protection locked="0"/>
    </xf>
    <xf numFmtId="0" fontId="18" fillId="0" borderId="34" xfId="0" applyNumberFormat="1" applyFont="1" applyFill="1" applyBorder="1" applyAlignment="1" applyProtection="1">
      <alignment horizontal="left" vertical="center"/>
      <protection locked="0"/>
    </xf>
    <xf numFmtId="0" fontId="57" fillId="37" borderId="35" xfId="0" applyFont="1" applyFill="1" applyBorder="1" applyAlignment="1" applyProtection="1">
      <alignment horizontal="left" vertical="center"/>
      <protection locked="0"/>
    </xf>
    <xf numFmtId="167" fontId="57" fillId="37" borderId="35" xfId="0" applyNumberFormat="1" applyFont="1" applyFill="1" applyBorder="1" applyAlignment="1" applyProtection="1">
      <alignment horizontal="center" vertical="center"/>
      <protection locked="0"/>
    </xf>
    <xf numFmtId="164" fontId="58" fillId="0" borderId="35" xfId="28" applyNumberFormat="1" applyFont="1" applyFill="1" applyBorder="1" applyAlignment="1" applyProtection="1">
      <alignment horizontal="center" vertical="center"/>
    </xf>
    <xf numFmtId="0" fontId="60" fillId="0" borderId="36" xfId="0" applyNumberFormat="1" applyFont="1" applyFill="1" applyBorder="1" applyAlignment="1" applyProtection="1">
      <alignment horizontal="left" vertical="center"/>
      <protection locked="0"/>
    </xf>
    <xf numFmtId="0" fontId="57" fillId="0" borderId="37" xfId="0" applyFont="1" applyFill="1" applyBorder="1" applyAlignment="1" applyProtection="1">
      <alignment horizontal="center" vertical="center"/>
      <protection locked="0"/>
    </xf>
    <xf numFmtId="0" fontId="57" fillId="0" borderId="38" xfId="0" applyFont="1" applyFill="1" applyBorder="1" applyAlignment="1" applyProtection="1">
      <alignment horizontal="center" vertical="center"/>
      <protection locked="0"/>
    </xf>
    <xf numFmtId="1" fontId="57" fillId="0" borderId="38" xfId="0" applyNumberFormat="1" applyFont="1" applyFill="1" applyBorder="1" applyAlignment="1" applyProtection="1">
      <alignment horizontal="center" vertical="center"/>
      <protection locked="0"/>
    </xf>
    <xf numFmtId="0" fontId="52" fillId="38" borderId="38" xfId="0" applyFont="1" applyFill="1" applyBorder="1" applyAlignment="1" applyProtection="1">
      <alignment horizontal="center" vertical="center"/>
    </xf>
    <xf numFmtId="0" fontId="55" fillId="39" borderId="38" xfId="0" applyFont="1" applyFill="1" applyBorder="1" applyAlignment="1" applyProtection="1">
      <alignment horizontal="center" vertical="center"/>
    </xf>
    <xf numFmtId="166" fontId="57" fillId="0" borderId="39" xfId="0" applyNumberFormat="1" applyFont="1" applyFill="1" applyBorder="1" applyAlignment="1" applyProtection="1">
      <alignment horizontal="center" vertical="center"/>
      <protection locked="0"/>
    </xf>
    <xf numFmtId="164" fontId="58" fillId="0" borderId="40" xfId="28" applyNumberFormat="1" applyFont="1" applyFill="1" applyBorder="1" applyAlignment="1" applyProtection="1">
      <alignment horizontal="center" vertical="center"/>
    </xf>
    <xf numFmtId="0" fontId="59" fillId="0" borderId="36" xfId="0" applyNumberFormat="1" applyFont="1" applyFill="1" applyBorder="1" applyAlignment="1" applyProtection="1">
      <alignment horizontal="left" vertical="center"/>
      <protection locked="0"/>
    </xf>
    <xf numFmtId="0" fontId="60" fillId="0" borderId="41" xfId="0" applyNumberFormat="1" applyFont="1" applyFill="1" applyBorder="1" applyAlignment="1" applyProtection="1">
      <alignment horizontal="left" vertical="center"/>
      <protection locked="0"/>
    </xf>
    <xf numFmtId="164" fontId="58" fillId="0" borderId="42" xfId="28" applyNumberFormat="1" applyFont="1" applyFill="1" applyBorder="1" applyAlignment="1" applyProtection="1">
      <alignment horizontal="center" vertical="center"/>
    </xf>
    <xf numFmtId="0" fontId="18" fillId="0" borderId="43" xfId="0" applyNumberFormat="1" applyFont="1" applyFill="1" applyBorder="1" applyAlignment="1" applyProtection="1">
      <alignment horizontal="left" vertical="center"/>
      <protection locked="0"/>
    </xf>
    <xf numFmtId="166" fontId="57" fillId="37" borderId="31" xfId="0" applyNumberFormat="1" applyFont="1" applyFill="1" applyBorder="1" applyAlignment="1" applyProtection="1">
      <alignment horizontal="left" vertical="center"/>
      <protection locked="0"/>
    </xf>
    <xf numFmtId="0" fontId="18" fillId="0" borderId="32" xfId="0" applyNumberFormat="1" applyFont="1" applyFill="1" applyBorder="1" applyAlignment="1" applyProtection="1">
      <alignment horizontal="left" vertical="center"/>
      <protection locked="0"/>
    </xf>
    <xf numFmtId="167" fontId="57" fillId="37" borderId="44" xfId="0" applyNumberFormat="1" applyFont="1" applyFill="1" applyBorder="1" applyAlignment="1" applyProtection="1">
      <alignment horizontal="center" vertical="center"/>
      <protection locked="0"/>
    </xf>
    <xf numFmtId="167" fontId="57" fillId="37" borderId="45" xfId="0" applyNumberFormat="1" applyFont="1" applyFill="1" applyBorder="1" applyAlignment="1" applyProtection="1">
      <alignment horizontal="center" vertical="center"/>
      <protection locked="0"/>
    </xf>
    <xf numFmtId="167" fontId="57" fillId="37" borderId="46" xfId="0" applyNumberFormat="1" applyFont="1" applyFill="1" applyBorder="1" applyAlignment="1" applyProtection="1">
      <alignment horizontal="center" vertical="center"/>
      <protection locked="0"/>
    </xf>
    <xf numFmtId="164" fontId="58" fillId="0" borderId="47" xfId="28" applyNumberFormat="1" applyFont="1" applyFill="1" applyBorder="1" applyAlignment="1" applyProtection="1">
      <alignment horizontal="center" vertical="center"/>
    </xf>
    <xf numFmtId="164" fontId="58" fillId="0" borderId="48" xfId="28" applyNumberFormat="1" applyFont="1" applyFill="1" applyBorder="1" applyAlignment="1" applyProtection="1">
      <alignment horizontal="center" vertical="center"/>
    </xf>
    <xf numFmtId="164" fontId="58" fillId="0" borderId="49" xfId="28" applyNumberFormat="1" applyFont="1" applyFill="1" applyBorder="1" applyAlignment="1" applyProtection="1">
      <alignment horizontal="center" vertical="center"/>
    </xf>
    <xf numFmtId="166" fontId="57" fillId="0" borderId="50" xfId="0" applyNumberFormat="1" applyFont="1" applyFill="1" applyBorder="1" applyAlignment="1" applyProtection="1">
      <alignment horizontal="center" vertical="center"/>
    </xf>
    <xf numFmtId="166" fontId="57" fillId="0" borderId="51" xfId="0" applyNumberFormat="1" applyFont="1" applyFill="1" applyBorder="1" applyAlignment="1" applyProtection="1">
      <alignment horizontal="center" vertical="center"/>
    </xf>
    <xf numFmtId="166" fontId="57" fillId="0" borderId="52" xfId="0" applyNumberFormat="1" applyFont="1" applyFill="1" applyBorder="1" applyAlignment="1" applyProtection="1">
      <alignment horizontal="center" vertical="center"/>
    </xf>
    <xf numFmtId="164" fontId="58" fillId="0" borderId="53" xfId="28" applyNumberFormat="1" applyFont="1" applyFill="1" applyBorder="1" applyAlignment="1" applyProtection="1">
      <alignment horizontal="center" vertical="center"/>
    </xf>
    <xf numFmtId="164" fontId="58" fillId="0" borderId="54" xfId="28" applyNumberFormat="1" applyFont="1" applyFill="1" applyBorder="1" applyAlignment="1" applyProtection="1">
      <alignment horizontal="center" vertical="center"/>
    </xf>
    <xf numFmtId="0" fontId="4" fillId="36" borderId="27" xfId="0" applyNumberFormat="1" applyFont="1" applyFill="1" applyBorder="1" applyAlignment="1" applyProtection="1">
      <alignment horizontal="center" vertical="center" wrapText="1"/>
      <protection locked="0"/>
    </xf>
    <xf numFmtId="164" fontId="56" fillId="0" borderId="55" xfId="28" applyNumberFormat="1" applyFont="1" applyFill="1" applyBorder="1" applyAlignment="1" applyProtection="1">
      <alignment horizontal="center" vertical="center" wrapText="1"/>
    </xf>
    <xf numFmtId="0" fontId="61" fillId="37" borderId="40" xfId="0" applyFont="1" applyFill="1" applyBorder="1" applyAlignment="1" applyProtection="1">
      <alignment horizontal="left" vertical="center"/>
      <protection locked="0"/>
    </xf>
    <xf numFmtId="167" fontId="61" fillId="37" borderId="40" xfId="0" applyNumberFormat="1" applyFont="1" applyFill="1" applyBorder="1" applyAlignment="1" applyProtection="1">
      <alignment horizontal="center" vertical="center"/>
      <protection locked="0"/>
    </xf>
    <xf numFmtId="167" fontId="61" fillId="37" borderId="56" xfId="0" applyNumberFormat="1" applyFont="1" applyFill="1" applyBorder="1" applyAlignment="1" applyProtection="1">
      <alignment horizontal="center" vertical="center"/>
      <protection locked="0"/>
    </xf>
    <xf numFmtId="0" fontId="61" fillId="37" borderId="33" xfId="0" applyFont="1" applyFill="1" applyBorder="1" applyAlignment="1" applyProtection="1">
      <alignment horizontal="left" vertical="center"/>
      <protection locked="0"/>
    </xf>
    <xf numFmtId="167" fontId="61" fillId="37" borderId="33" xfId="0" applyNumberFormat="1" applyFont="1" applyFill="1" applyBorder="1" applyAlignment="1" applyProtection="1">
      <alignment horizontal="center" vertical="center"/>
      <protection locked="0"/>
    </xf>
    <xf numFmtId="167" fontId="61" fillId="37" borderId="45" xfId="0" applyNumberFormat="1" applyFont="1" applyFill="1" applyBorder="1" applyAlignment="1" applyProtection="1">
      <alignment horizontal="center" vertical="center"/>
      <protection locked="0"/>
    </xf>
    <xf numFmtId="166" fontId="61" fillId="37" borderId="33" xfId="0" applyNumberFormat="1" applyFont="1" applyFill="1" applyBorder="1" applyAlignment="1" applyProtection="1">
      <alignment horizontal="left" vertical="center"/>
      <protection locked="0"/>
    </xf>
    <xf numFmtId="166" fontId="61" fillId="37" borderId="42" xfId="0" applyNumberFormat="1" applyFont="1" applyFill="1" applyBorder="1" applyAlignment="1" applyProtection="1">
      <alignment horizontal="left" vertical="center"/>
      <protection locked="0"/>
    </xf>
    <xf numFmtId="167" fontId="61" fillId="37" borderId="42" xfId="0" applyNumberFormat="1" applyFont="1" applyFill="1" applyBorder="1" applyAlignment="1" applyProtection="1">
      <alignment horizontal="center" vertical="center"/>
      <protection locked="0"/>
    </xf>
    <xf numFmtId="167" fontId="61" fillId="37" borderId="57" xfId="0" applyNumberFormat="1" applyFont="1" applyFill="1" applyBorder="1" applyAlignment="1" applyProtection="1">
      <alignment horizontal="center" vertical="center"/>
      <protection locked="0"/>
    </xf>
    <xf numFmtId="1" fontId="52" fillId="0" borderId="58" xfId="0" applyNumberFormat="1" applyFont="1" applyFill="1" applyBorder="1" applyAlignment="1" applyProtection="1">
      <alignment horizontal="center" vertical="center" wrapText="1"/>
      <protection locked="0"/>
    </xf>
    <xf numFmtId="168" fontId="14" fillId="34" borderId="59" xfId="28" applyNumberFormat="1" applyFont="1" applyFill="1" applyBorder="1" applyAlignment="1" applyProtection="1">
      <alignment horizontal="center" vertical="center" wrapText="1"/>
    </xf>
    <xf numFmtId="0" fontId="15" fillId="34" borderId="60" xfId="0" applyNumberFormat="1" applyFont="1" applyFill="1" applyBorder="1" applyAlignment="1" applyProtection="1">
      <alignment horizontal="center" vertical="center" wrapText="1"/>
      <protection locked="0"/>
    </xf>
    <xf numFmtId="165" fontId="52" fillId="0" borderId="61" xfId="49" applyNumberFormat="1" applyFont="1" applyFill="1" applyBorder="1" applyAlignment="1" applyProtection="1">
      <alignment horizontal="center" vertical="center" wrapText="1"/>
      <protection locked="0"/>
    </xf>
    <xf numFmtId="168" fontId="4" fillId="0" borderId="61" xfId="28" applyNumberFormat="1" applyFont="1" applyFill="1" applyBorder="1" applyAlignment="1" applyProtection="1">
      <alignment horizontal="center" vertical="center" wrapText="1"/>
      <protection locked="0"/>
    </xf>
    <xf numFmtId="0" fontId="0" fillId="0" borderId="61" xfId="0" applyFont="1" applyFill="1" applyBorder="1" applyAlignment="1" applyProtection="1">
      <alignment vertical="center"/>
      <protection locked="0"/>
    </xf>
    <xf numFmtId="0" fontId="17" fillId="0" borderId="61" xfId="0" applyNumberFormat="1" applyFont="1" applyFill="1" applyBorder="1" applyAlignment="1" applyProtection="1">
      <alignment horizontal="center" vertical="center" wrapText="1"/>
      <protection locked="0"/>
    </xf>
    <xf numFmtId="0" fontId="16" fillId="0" borderId="62" xfId="0" applyNumberFormat="1" applyFont="1" applyFill="1" applyBorder="1" applyAlignment="1" applyProtection="1">
      <alignment horizontal="center" vertical="center" wrapText="1"/>
      <protection locked="0"/>
    </xf>
    <xf numFmtId="165" fontId="4" fillId="0" borderId="58" xfId="49" applyNumberFormat="1" applyFont="1" applyFill="1" applyBorder="1" applyAlignment="1" applyProtection="1">
      <alignment horizontal="center" vertical="center" wrapText="1"/>
      <protection locked="0"/>
    </xf>
    <xf numFmtId="165" fontId="4" fillId="0" borderId="61" xfId="49" applyNumberFormat="1" applyFont="1" applyFill="1" applyBorder="1" applyAlignment="1" applyProtection="1">
      <alignment horizontal="center" vertical="center" wrapText="1"/>
      <protection locked="0"/>
    </xf>
    <xf numFmtId="165" fontId="4" fillId="0" borderId="59" xfId="49" applyNumberFormat="1" applyFont="1" applyFill="1" applyBorder="1" applyAlignment="1" applyProtection="1">
      <alignment horizontal="center" vertical="center" wrapText="1"/>
      <protection locked="0"/>
    </xf>
    <xf numFmtId="164" fontId="15" fillId="34" borderId="63" xfId="0" applyNumberFormat="1" applyFont="1" applyFill="1" applyBorder="1" applyAlignment="1" applyProtection="1">
      <alignment horizontal="center" vertical="center" wrapText="1"/>
      <protection locked="0"/>
    </xf>
    <xf numFmtId="0" fontId="15" fillId="34" borderId="64" xfId="0" applyNumberFormat="1" applyFont="1" applyFill="1" applyBorder="1" applyAlignment="1" applyProtection="1">
      <alignment horizontal="center" vertical="center" wrapText="1"/>
      <protection locked="0"/>
    </xf>
    <xf numFmtId="0" fontId="0" fillId="0" borderId="0" xfId="0" applyFont="1" applyBorder="1" applyAlignment="1" applyProtection="1">
      <alignment vertical="center"/>
      <protection locked="0"/>
    </xf>
    <xf numFmtId="0" fontId="55" fillId="36" borderId="65" xfId="0" applyFont="1" applyFill="1" applyBorder="1" applyAlignment="1" applyProtection="1">
      <alignment vertical="center"/>
      <protection locked="0"/>
    </xf>
    <xf numFmtId="3" fontId="55" fillId="36" borderId="65" xfId="0" applyNumberFormat="1" applyFont="1" applyFill="1" applyBorder="1" applyAlignment="1" applyProtection="1">
      <alignment horizontal="left" vertical="center"/>
      <protection locked="0"/>
    </xf>
    <xf numFmtId="3" fontId="52" fillId="36" borderId="65" xfId="0" applyNumberFormat="1" applyFont="1" applyFill="1" applyBorder="1" applyAlignment="1" applyProtection="1">
      <alignment vertical="center"/>
    </xf>
    <xf numFmtId="3" fontId="52" fillId="36" borderId="0" xfId="0" applyNumberFormat="1" applyFont="1" applyFill="1" applyBorder="1" applyAlignment="1" applyProtection="1">
      <alignment vertical="center"/>
    </xf>
    <xf numFmtId="167" fontId="11" fillId="38" borderId="66" xfId="0" applyNumberFormat="1" applyFont="1" applyFill="1" applyBorder="1" applyAlignment="1" applyProtection="1">
      <alignment horizontal="center" vertical="center"/>
      <protection locked="0"/>
    </xf>
    <xf numFmtId="167" fontId="56" fillId="39" borderId="66" xfId="0" applyNumberFormat="1" applyFont="1" applyFill="1" applyBorder="1" applyAlignment="1" applyProtection="1">
      <alignment horizontal="center" vertical="center"/>
      <protection locked="0"/>
    </xf>
    <xf numFmtId="0" fontId="56" fillId="36" borderId="67" xfId="0" applyFont="1" applyFill="1" applyBorder="1" applyAlignment="1" applyProtection="1">
      <alignment horizontal="right" vertical="center"/>
      <protection locked="0"/>
    </xf>
    <xf numFmtId="3" fontId="62" fillId="36" borderId="68" xfId="0" applyNumberFormat="1" applyFont="1" applyFill="1" applyBorder="1" applyAlignment="1" applyProtection="1">
      <alignment horizontal="center" vertical="center"/>
    </xf>
    <xf numFmtId="0" fontId="55" fillId="36" borderId="68" xfId="0" applyFont="1" applyFill="1" applyBorder="1" applyAlignment="1" applyProtection="1">
      <alignment vertical="center"/>
      <protection locked="0"/>
    </xf>
    <xf numFmtId="3" fontId="52" fillId="36" borderId="68" xfId="0" applyNumberFormat="1" applyFont="1" applyFill="1" applyBorder="1" applyAlignment="1" applyProtection="1">
      <alignment vertical="center"/>
    </xf>
    <xf numFmtId="3" fontId="63" fillId="36" borderId="69" xfId="0" applyNumberFormat="1" applyFont="1" applyFill="1" applyBorder="1" applyAlignment="1" applyProtection="1">
      <alignment vertical="center"/>
    </xf>
    <xf numFmtId="0" fontId="55" fillId="36" borderId="67" xfId="0" applyFont="1" applyFill="1" applyBorder="1" applyAlignment="1" applyProtection="1">
      <alignment vertical="center"/>
      <protection locked="0"/>
    </xf>
    <xf numFmtId="0" fontId="0" fillId="0" borderId="0" xfId="0" applyFont="1" applyFill="1" applyBorder="1" applyAlignment="1" applyProtection="1">
      <alignment vertical="center"/>
    </xf>
    <xf numFmtId="3" fontId="55" fillId="36" borderId="68" xfId="0" applyNumberFormat="1" applyFont="1" applyFill="1" applyBorder="1" applyAlignment="1" applyProtection="1">
      <alignment horizontal="left" vertical="center"/>
    </xf>
    <xf numFmtId="3" fontId="55" fillId="36" borderId="65" xfId="0" applyNumberFormat="1" applyFont="1" applyFill="1" applyBorder="1" applyAlignment="1" applyProtection="1">
      <alignment horizontal="left" vertical="center"/>
    </xf>
    <xf numFmtId="167" fontId="11" fillId="38" borderId="66" xfId="0" applyNumberFormat="1" applyFont="1" applyFill="1" applyBorder="1" applyAlignment="1" applyProtection="1">
      <alignment horizontal="center" vertical="center"/>
    </xf>
    <xf numFmtId="167" fontId="56" fillId="39" borderId="66" xfId="0" applyNumberFormat="1" applyFont="1" applyFill="1" applyBorder="1" applyAlignment="1" applyProtection="1">
      <alignment horizontal="center" vertical="center"/>
    </xf>
    <xf numFmtId="167" fontId="62" fillId="38" borderId="66" xfId="0" applyNumberFormat="1" applyFont="1" applyFill="1" applyBorder="1" applyAlignment="1" applyProtection="1">
      <alignment horizontal="center" vertical="center"/>
      <protection locked="0"/>
    </xf>
    <xf numFmtId="167" fontId="62" fillId="38" borderId="29" xfId="0" applyNumberFormat="1" applyFont="1" applyFill="1" applyBorder="1" applyAlignment="1" applyProtection="1">
      <alignment horizontal="center" vertical="center"/>
      <protection locked="0"/>
    </xf>
    <xf numFmtId="164" fontId="55" fillId="0" borderId="26" xfId="28" applyNumberFormat="1" applyFont="1" applyFill="1" applyBorder="1" applyAlignment="1" applyProtection="1">
      <alignment horizontal="center" vertical="center" wrapText="1"/>
    </xf>
    <xf numFmtId="164" fontId="62" fillId="0" borderId="0" xfId="0" applyNumberFormat="1" applyFont="1" applyAlignment="1" applyProtection="1">
      <alignment horizontal="center" vertical="center"/>
    </xf>
    <xf numFmtId="0" fontId="62" fillId="0" borderId="0" xfId="0" applyFont="1" applyAlignment="1" applyProtection="1">
      <alignment horizontal="center" vertical="center"/>
      <protection locked="0"/>
    </xf>
    <xf numFmtId="1" fontId="64" fillId="40" borderId="29" xfId="0" applyNumberFormat="1" applyFont="1" applyFill="1" applyBorder="1" applyAlignment="1">
      <alignment horizontal="center" vertical="center" wrapText="1"/>
    </xf>
    <xf numFmtId="1" fontId="65" fillId="41" borderId="29" xfId="0" applyNumberFormat="1" applyFont="1" applyFill="1" applyBorder="1" applyAlignment="1">
      <alignment horizontal="center" vertical="center" wrapText="1"/>
    </xf>
    <xf numFmtId="1" fontId="66" fillId="0" borderId="0" xfId="0" applyNumberFormat="1" applyFont="1" applyFill="1" applyAlignment="1">
      <alignment horizontal="center" vertical="center" wrapText="1"/>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0" fontId="7" fillId="33" borderId="0" xfId="0" applyFont="1" applyFill="1" applyAlignment="1" applyProtection="1">
      <alignment horizontal="center" vertical="center"/>
      <protection locked="0"/>
    </xf>
    <xf numFmtId="0" fontId="7" fillId="0" borderId="0" xfId="0" applyFont="1" applyAlignment="1" applyProtection="1">
      <alignment horizontal="left" vertical="center"/>
      <protection locked="0"/>
    </xf>
    <xf numFmtId="3" fontId="67" fillId="0" borderId="0" xfId="0" applyNumberFormat="1" applyFont="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7" fillId="0" borderId="0" xfId="0" applyNumberFormat="1" applyFont="1" applyAlignment="1" applyProtection="1">
      <alignment horizontal="center" vertical="center"/>
      <protection locked="0"/>
    </xf>
    <xf numFmtId="16" fontId="5" fillId="33" borderId="70" xfId="0" applyNumberFormat="1" applyFont="1" applyFill="1" applyBorder="1" applyAlignment="1" applyProtection="1">
      <alignment horizontal="center" vertical="center"/>
      <protection locked="0"/>
    </xf>
    <xf numFmtId="0" fontId="7" fillId="33" borderId="71" xfId="0" applyFont="1" applyFill="1" applyBorder="1" applyAlignment="1" applyProtection="1">
      <alignment horizontal="center" vertical="center"/>
      <protection locked="0"/>
    </xf>
    <xf numFmtId="0" fontId="7" fillId="42" borderId="72" xfId="0" applyFont="1" applyFill="1" applyBorder="1" applyAlignment="1" applyProtection="1">
      <alignment horizontal="center" vertical="center"/>
      <protection locked="0"/>
    </xf>
    <xf numFmtId="0" fontId="5" fillId="42" borderId="72" xfId="0" applyFont="1" applyFill="1" applyBorder="1" applyAlignment="1" applyProtection="1">
      <alignment horizontal="center" vertical="center" wrapText="1"/>
      <protection locked="0"/>
    </xf>
    <xf numFmtId="0" fontId="5" fillId="42" borderId="71" xfId="0" applyFont="1" applyFill="1" applyBorder="1" applyAlignment="1" applyProtection="1">
      <alignment horizontal="center" vertical="center" wrapText="1"/>
      <protection locked="0"/>
    </xf>
    <xf numFmtId="0" fontId="5" fillId="42" borderId="71" xfId="0" applyFont="1" applyFill="1" applyBorder="1" applyAlignment="1" applyProtection="1">
      <alignment horizontal="center" vertical="center"/>
      <protection locked="0"/>
    </xf>
    <xf numFmtId="0" fontId="5" fillId="42" borderId="72" xfId="0" applyFont="1" applyFill="1" applyBorder="1" applyAlignment="1" applyProtection="1">
      <alignment horizontal="center" vertical="center"/>
      <protection locked="0"/>
    </xf>
    <xf numFmtId="0" fontId="5" fillId="42" borderId="73" xfId="0" applyFont="1" applyFill="1" applyBorder="1" applyAlignment="1" applyProtection="1">
      <alignment horizontal="center" vertical="center" wrapText="1"/>
      <protection locked="0"/>
    </xf>
    <xf numFmtId="0" fontId="5" fillId="42" borderId="74" xfId="0" applyFont="1" applyFill="1" applyBorder="1" applyAlignment="1" applyProtection="1">
      <alignment horizontal="center" vertical="center" wrapText="1"/>
      <protection locked="0"/>
    </xf>
    <xf numFmtId="0" fontId="5" fillId="42" borderId="75" xfId="0" applyFont="1" applyFill="1" applyBorder="1" applyAlignment="1" applyProtection="1">
      <alignment horizontal="center" vertical="center" wrapText="1"/>
      <protection locked="0"/>
    </xf>
    <xf numFmtId="0" fontId="68" fillId="0" borderId="137" xfId="0" applyNumberFormat="1" applyFont="1" applyFill="1" applyBorder="1" applyAlignment="1" applyProtection="1">
      <alignment horizontal="center" vertical="center" wrapText="1"/>
      <protection locked="0"/>
    </xf>
    <xf numFmtId="0" fontId="68" fillId="0" borderId="137" xfId="0" applyNumberFormat="1" applyFont="1" applyFill="1" applyBorder="1" applyAlignment="1" applyProtection="1">
      <alignment horizontal="left" vertical="center" wrapText="1" readingOrder="1"/>
      <protection locked="0"/>
    </xf>
    <xf numFmtId="166" fontId="5" fillId="0" borderId="138" xfId="0" applyNumberFormat="1" applyFont="1" applyBorder="1" applyAlignment="1" applyProtection="1">
      <alignment horizontal="center" vertical="center"/>
      <protection locked="0"/>
    </xf>
    <xf numFmtId="166" fontId="5" fillId="0" borderId="139" xfId="0" applyNumberFormat="1" applyFont="1" applyBorder="1" applyAlignment="1" applyProtection="1">
      <alignment horizontal="center" vertical="center"/>
      <protection locked="0"/>
    </xf>
    <xf numFmtId="166" fontId="5" fillId="0" borderId="140" xfId="0" applyNumberFormat="1" applyFont="1" applyBorder="1" applyAlignment="1" applyProtection="1">
      <alignment horizontal="center" vertical="center"/>
      <protection locked="0"/>
    </xf>
    <xf numFmtId="166" fontId="5" fillId="0" borderId="141" xfId="0" applyNumberFormat="1" applyFont="1" applyBorder="1" applyAlignment="1" applyProtection="1">
      <alignment horizontal="center" vertical="center"/>
      <protection locked="0"/>
    </xf>
    <xf numFmtId="166" fontId="5" fillId="0" borderId="142" xfId="0" applyNumberFormat="1" applyFont="1" applyBorder="1" applyAlignment="1" applyProtection="1">
      <alignment horizontal="center" vertical="center"/>
      <protection locked="0"/>
    </xf>
    <xf numFmtId="166" fontId="5" fillId="0" borderId="143" xfId="0" applyNumberFormat="1" applyFont="1" applyBorder="1" applyAlignment="1" applyProtection="1">
      <alignment horizontal="center" vertical="center"/>
      <protection locked="0"/>
    </xf>
    <xf numFmtId="166" fontId="5" fillId="0" borderId="144" xfId="0" applyNumberFormat="1" applyFont="1" applyBorder="1" applyAlignment="1" applyProtection="1">
      <alignment horizontal="center" vertical="center"/>
      <protection locked="0"/>
    </xf>
    <xf numFmtId="2" fontId="5" fillId="0" borderId="140" xfId="0" applyNumberFormat="1" applyFont="1" applyBorder="1" applyAlignment="1" applyProtection="1">
      <alignment horizontal="center" vertical="center"/>
      <protection locked="0"/>
    </xf>
    <xf numFmtId="2" fontId="5" fillId="0" borderId="143" xfId="0" applyNumberFormat="1" applyFont="1" applyBorder="1" applyAlignment="1" applyProtection="1">
      <alignment horizontal="center" vertical="center"/>
      <protection locked="0"/>
    </xf>
    <xf numFmtId="0" fontId="68" fillId="0" borderId="144" xfId="0" applyNumberFormat="1" applyFont="1" applyFill="1" applyBorder="1" applyAlignment="1" applyProtection="1">
      <alignment horizontal="center" vertical="center" wrapText="1"/>
      <protection locked="0"/>
    </xf>
    <xf numFmtId="0" fontId="68" fillId="0" borderId="144" xfId="0" applyNumberFormat="1" applyFont="1" applyFill="1" applyBorder="1" applyAlignment="1" applyProtection="1">
      <alignment horizontal="left" vertical="center" wrapText="1" readingOrder="1"/>
      <protection locked="0"/>
    </xf>
    <xf numFmtId="0" fontId="69" fillId="0" borderId="76" xfId="0" applyNumberFormat="1" applyFont="1" applyFill="1" applyBorder="1" applyAlignment="1" applyProtection="1">
      <alignment horizontal="center" vertical="center" wrapText="1"/>
      <protection locked="0"/>
    </xf>
    <xf numFmtId="0" fontId="69" fillId="0" borderId="76" xfId="0" applyNumberFormat="1" applyFont="1" applyFill="1" applyBorder="1" applyAlignment="1" applyProtection="1">
      <alignment horizontal="left" vertical="center" wrapText="1" readingOrder="1"/>
      <protection locked="0"/>
    </xf>
    <xf numFmtId="0" fontId="70" fillId="0" borderId="137" xfId="0" applyNumberFormat="1" applyFont="1" applyFill="1" applyBorder="1" applyAlignment="1" applyProtection="1">
      <alignment horizontal="left" vertical="center" wrapText="1" readingOrder="1"/>
      <protection locked="0"/>
    </xf>
    <xf numFmtId="0" fontId="70" fillId="0" borderId="144" xfId="0" applyNumberFormat="1" applyFont="1" applyFill="1" applyBorder="1" applyAlignment="1" applyProtection="1">
      <alignment horizontal="left" vertical="center" wrapText="1" readingOrder="1"/>
      <protection locked="0"/>
    </xf>
    <xf numFmtId="0" fontId="71" fillId="0" borderId="76" xfId="0" applyNumberFormat="1" applyFont="1" applyFill="1" applyBorder="1" applyAlignment="1" applyProtection="1">
      <alignment horizontal="left" vertical="center" wrapText="1" readingOrder="1"/>
      <protection locked="0"/>
    </xf>
    <xf numFmtId="0" fontId="7" fillId="0" borderId="0" xfId="0" applyFont="1" applyBorder="1" applyAlignment="1" applyProtection="1">
      <alignment vertical="center"/>
      <protection locked="0"/>
    </xf>
    <xf numFmtId="0" fontId="7" fillId="0" borderId="71" xfId="0" applyFont="1" applyBorder="1" applyAlignment="1" applyProtection="1">
      <alignment vertical="center"/>
      <protection locked="0"/>
    </xf>
    <xf numFmtId="0" fontId="7" fillId="0" borderId="77" xfId="0" applyFont="1" applyBorder="1" applyAlignment="1" applyProtection="1">
      <alignment vertical="center"/>
      <protection locked="0"/>
    </xf>
    <xf numFmtId="0" fontId="7" fillId="0" borderId="78" xfId="0" applyFont="1" applyBorder="1" applyAlignment="1" applyProtection="1">
      <alignment vertical="center"/>
      <protection locked="0"/>
    </xf>
    <xf numFmtId="0" fontId="7" fillId="42" borderId="72" xfId="0" applyFont="1" applyFill="1" applyBorder="1" applyAlignment="1" applyProtection="1">
      <alignment horizontal="center" vertical="center" wrapText="1"/>
      <protection locked="0"/>
    </xf>
    <xf numFmtId="0" fontId="7" fillId="42" borderId="71" xfId="0" applyFont="1" applyFill="1" applyBorder="1" applyAlignment="1" applyProtection="1">
      <alignment horizontal="left" vertical="center"/>
      <protection locked="0"/>
    </xf>
    <xf numFmtId="0" fontId="7" fillId="42" borderId="0" xfId="0" applyFont="1" applyFill="1" applyBorder="1" applyAlignment="1" applyProtection="1">
      <alignment horizontal="center" vertical="center" wrapText="1"/>
      <protection locked="0"/>
    </xf>
    <xf numFmtId="0" fontId="7" fillId="0" borderId="145" xfId="0" applyFont="1" applyBorder="1" applyAlignment="1" applyProtection="1">
      <alignment vertical="center"/>
      <protection locked="0"/>
    </xf>
    <xf numFmtId="0" fontId="7" fillId="33" borderId="146" xfId="0" applyFont="1" applyFill="1" applyBorder="1" applyAlignment="1" applyProtection="1">
      <alignment horizontal="center" vertical="center"/>
      <protection locked="0"/>
    </xf>
    <xf numFmtId="4" fontId="7" fillId="0" borderId="146" xfId="0" applyNumberFormat="1" applyFont="1" applyBorder="1" applyAlignment="1" applyProtection="1">
      <alignment horizontal="center" vertical="center"/>
      <protection locked="0"/>
    </xf>
    <xf numFmtId="166" fontId="7" fillId="0" borderId="142" xfId="0" applyNumberFormat="1" applyFont="1" applyBorder="1" applyAlignment="1" applyProtection="1">
      <alignment horizontal="left" vertical="center"/>
      <protection locked="0"/>
    </xf>
    <xf numFmtId="3" fontId="7" fillId="0" borderId="147" xfId="0" applyNumberFormat="1" applyFont="1" applyBorder="1" applyAlignment="1" applyProtection="1">
      <alignment horizontal="right" vertical="center"/>
      <protection locked="0"/>
    </xf>
    <xf numFmtId="0" fontId="7" fillId="0" borderId="148" xfId="0" applyFont="1" applyBorder="1" applyAlignment="1" applyProtection="1">
      <alignment vertical="center"/>
      <protection locked="0"/>
    </xf>
    <xf numFmtId="0" fontId="71" fillId="0" borderId="79" xfId="0" applyFont="1" applyBorder="1" applyAlignment="1" applyProtection="1">
      <alignment vertical="center"/>
      <protection locked="0"/>
    </xf>
    <xf numFmtId="0" fontId="71" fillId="33" borderId="80" xfId="0" applyFont="1" applyFill="1" applyBorder="1" applyAlignment="1" applyProtection="1">
      <alignment horizontal="center" vertical="center"/>
      <protection locked="0"/>
    </xf>
    <xf numFmtId="4" fontId="71" fillId="0" borderId="80" xfId="0" applyNumberFormat="1" applyFont="1" applyBorder="1" applyAlignment="1" applyProtection="1">
      <alignment horizontal="center" vertical="center"/>
      <protection locked="0"/>
    </xf>
    <xf numFmtId="166" fontId="71" fillId="0" borderId="81" xfId="0" applyNumberFormat="1" applyFont="1" applyBorder="1" applyAlignment="1" applyProtection="1">
      <alignment horizontal="left" vertical="center"/>
      <protection locked="0"/>
    </xf>
    <xf numFmtId="3" fontId="71" fillId="0" borderId="82" xfId="0" applyNumberFormat="1" applyFont="1" applyBorder="1" applyAlignment="1" applyProtection="1">
      <alignment horizontal="right" vertical="center"/>
      <protection locked="0"/>
    </xf>
    <xf numFmtId="0" fontId="72" fillId="0" borderId="83" xfId="0" applyFont="1" applyBorder="1" applyAlignment="1" applyProtection="1">
      <alignment vertical="center"/>
      <protection locked="0"/>
    </xf>
    <xf numFmtId="0" fontId="65" fillId="0" borderId="50" xfId="0" applyFont="1" applyBorder="1" applyAlignment="1">
      <alignment vertical="center"/>
    </xf>
    <xf numFmtId="0" fontId="65" fillId="0" borderId="51" xfId="0" applyFont="1" applyBorder="1" applyAlignment="1">
      <alignment vertical="center"/>
    </xf>
    <xf numFmtId="0" fontId="73" fillId="0" borderId="0" xfId="51" applyFont="1" applyAlignment="1">
      <alignment vertical="center"/>
    </xf>
    <xf numFmtId="0" fontId="65" fillId="43" borderId="84" xfId="0" applyFont="1" applyFill="1" applyBorder="1" applyAlignment="1">
      <alignment horizontal="center" vertical="center"/>
    </xf>
    <xf numFmtId="0" fontId="65" fillId="43" borderId="85" xfId="0" applyFont="1" applyFill="1" applyBorder="1" applyAlignment="1">
      <alignment horizontal="center" vertical="center"/>
    </xf>
    <xf numFmtId="0" fontId="65" fillId="43" borderId="86" xfId="0" applyFont="1" applyFill="1" applyBorder="1" applyAlignment="1">
      <alignment horizontal="center" vertical="center"/>
    </xf>
    <xf numFmtId="0" fontId="71" fillId="0" borderId="144" xfId="0" applyNumberFormat="1" applyFont="1" applyFill="1" applyBorder="1" applyAlignment="1" applyProtection="1">
      <alignment horizontal="left" vertical="center" wrapText="1" readingOrder="1"/>
      <protection locked="0"/>
    </xf>
    <xf numFmtId="3" fontId="71" fillId="0" borderId="147" xfId="0" applyNumberFormat="1" applyFont="1" applyBorder="1" applyAlignment="1" applyProtection="1">
      <alignment horizontal="right" vertical="center"/>
      <protection locked="0"/>
    </xf>
    <xf numFmtId="0" fontId="74" fillId="0" borderId="0" xfId="36" applyFont="1" applyFill="1" applyAlignment="1">
      <alignment vertical="center"/>
    </xf>
    <xf numFmtId="0" fontId="75" fillId="0" borderId="0" xfId="51" applyFont="1" applyAlignment="1">
      <alignment vertical="center"/>
    </xf>
    <xf numFmtId="0" fontId="76" fillId="0" borderId="0" xfId="51" applyFont="1" applyFill="1" applyAlignment="1">
      <alignment vertical="center"/>
    </xf>
    <xf numFmtId="0" fontId="73" fillId="0" borderId="0" xfId="51" applyFont="1" applyFill="1" applyAlignment="1">
      <alignment vertical="center"/>
    </xf>
    <xf numFmtId="0" fontId="64" fillId="0" borderId="0" xfId="0" applyFont="1" applyAlignment="1">
      <alignment vertical="center"/>
    </xf>
    <xf numFmtId="0" fontId="66" fillId="0" borderId="0" xfId="0" applyFont="1" applyFill="1" applyAlignment="1">
      <alignment vertical="center"/>
    </xf>
    <xf numFmtId="1" fontId="77" fillId="44" borderId="0" xfId="0" applyNumberFormat="1" applyFont="1" applyFill="1" applyAlignment="1">
      <alignment vertical="center"/>
    </xf>
    <xf numFmtId="1" fontId="77" fillId="44" borderId="0" xfId="0" applyNumberFormat="1" applyFont="1" applyFill="1" applyBorder="1" applyAlignment="1">
      <alignment vertical="center"/>
    </xf>
    <xf numFmtId="1" fontId="78" fillId="44" borderId="0" xfId="0" applyNumberFormat="1" applyFont="1" applyFill="1" applyBorder="1" applyAlignment="1">
      <alignment vertical="center"/>
    </xf>
    <xf numFmtId="1" fontId="77" fillId="45" borderId="0" xfId="0" applyNumberFormat="1" applyFont="1" applyFill="1" applyAlignment="1">
      <alignment vertical="center"/>
    </xf>
    <xf numFmtId="1" fontId="77" fillId="45" borderId="0" xfId="0" applyNumberFormat="1" applyFont="1" applyFill="1" applyBorder="1" applyAlignment="1">
      <alignment vertical="center"/>
    </xf>
    <xf numFmtId="1" fontId="66" fillId="0" borderId="0" xfId="0" applyNumberFormat="1" applyFont="1" applyFill="1" applyAlignment="1">
      <alignment vertical="center"/>
    </xf>
    <xf numFmtId="0" fontId="65" fillId="0" borderId="84" xfId="0" applyFont="1" applyBorder="1" applyAlignment="1">
      <alignment horizontal="center" vertical="center"/>
    </xf>
    <xf numFmtId="0" fontId="65" fillId="0" borderId="85" xfId="0" applyFont="1" applyBorder="1" applyAlignment="1">
      <alignment vertical="center"/>
    </xf>
    <xf numFmtId="0" fontId="65" fillId="0" borderId="85" xfId="0" applyFont="1" applyBorder="1" applyAlignment="1">
      <alignment horizontal="center" vertical="center"/>
    </xf>
    <xf numFmtId="0" fontId="65" fillId="0" borderId="86" xfId="0" applyFont="1" applyBorder="1" applyAlignment="1">
      <alignment horizontal="center" vertical="center"/>
    </xf>
    <xf numFmtId="166" fontId="66" fillId="0" borderId="0" xfId="0" applyNumberFormat="1" applyFont="1" applyFill="1" applyAlignment="1">
      <alignment vertical="center"/>
    </xf>
    <xf numFmtId="166" fontId="64" fillId="0" borderId="0" xfId="0" applyNumberFormat="1" applyFont="1" applyFill="1" applyAlignment="1">
      <alignment vertical="center"/>
    </xf>
    <xf numFmtId="0" fontId="64" fillId="0" borderId="0" xfId="0" applyFont="1" applyFill="1" applyAlignment="1">
      <alignment vertical="center"/>
    </xf>
    <xf numFmtId="0" fontId="73" fillId="0" borderId="0" xfId="51" applyFont="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xf>
    <xf numFmtId="1" fontId="77" fillId="46" borderId="0" xfId="0" applyNumberFormat="1" applyFont="1" applyFill="1" applyAlignment="1">
      <alignment horizontal="center" vertical="center"/>
    </xf>
    <xf numFmtId="1" fontId="77" fillId="47" borderId="0" xfId="0" applyNumberFormat="1" applyFont="1" applyFill="1" applyAlignment="1">
      <alignment horizontal="center" vertical="center"/>
    </xf>
    <xf numFmtId="1" fontId="77" fillId="48" borderId="149" xfId="0" applyNumberFormat="1" applyFont="1" applyFill="1" applyBorder="1" applyAlignment="1">
      <alignment horizontal="center" vertical="center"/>
    </xf>
    <xf numFmtId="1" fontId="77" fillId="49" borderId="0" xfId="0" applyNumberFormat="1" applyFont="1" applyFill="1" applyAlignment="1">
      <alignment horizontal="center" vertical="center"/>
    </xf>
    <xf numFmtId="1" fontId="77" fillId="49" borderId="150" xfId="0" applyNumberFormat="1" applyFont="1" applyFill="1" applyBorder="1" applyAlignment="1">
      <alignment horizontal="center" vertical="center"/>
    </xf>
    <xf numFmtId="1" fontId="77" fillId="50" borderId="0" xfId="0" applyNumberFormat="1" applyFont="1" applyFill="1" applyBorder="1" applyAlignment="1">
      <alignment horizontal="center" vertical="center"/>
    </xf>
    <xf numFmtId="1" fontId="77" fillId="50" borderId="150" xfId="0" applyNumberFormat="1" applyFont="1" applyFill="1" applyBorder="1" applyAlignment="1">
      <alignment horizontal="center" vertical="center"/>
    </xf>
    <xf numFmtId="1" fontId="77" fillId="45" borderId="0" xfId="0" applyNumberFormat="1" applyFont="1" applyFill="1" applyAlignment="1">
      <alignment horizontal="center" vertical="center"/>
    </xf>
    <xf numFmtId="0" fontId="65" fillId="0" borderId="85" xfId="0" applyFont="1" applyFill="1" applyBorder="1" applyAlignment="1">
      <alignment horizontal="left" vertical="center"/>
    </xf>
    <xf numFmtId="0" fontId="81" fillId="0" borderId="0" xfId="0" applyFont="1" applyAlignment="1">
      <alignment vertical="center"/>
    </xf>
    <xf numFmtId="0" fontId="81" fillId="0" borderId="0" xfId="0" applyFont="1" applyFill="1" applyAlignment="1">
      <alignment vertical="center"/>
    </xf>
    <xf numFmtId="0" fontId="81" fillId="0" borderId="0" xfId="0" applyFont="1" applyAlignment="1">
      <alignment horizontal="center" vertical="center"/>
    </xf>
    <xf numFmtId="1" fontId="81" fillId="0" borderId="0" xfId="0" applyNumberFormat="1" applyFont="1" applyFill="1" applyAlignment="1">
      <alignment vertical="center"/>
    </xf>
    <xf numFmtId="1" fontId="81" fillId="0" borderId="29" xfId="0" applyNumberFormat="1" applyFont="1" applyFill="1" applyBorder="1" applyAlignment="1">
      <alignment horizontal="center" vertical="center" wrapText="1"/>
    </xf>
    <xf numFmtId="1" fontId="81" fillId="40" borderId="29" xfId="0" applyNumberFormat="1" applyFont="1" applyFill="1" applyBorder="1" applyAlignment="1">
      <alignment horizontal="center" vertical="center" wrapText="1"/>
    </xf>
    <xf numFmtId="1" fontId="81" fillId="43" borderId="29" xfId="0" applyNumberFormat="1" applyFont="1" applyFill="1" applyBorder="1" applyAlignment="1">
      <alignment horizontal="center" vertical="center" wrapText="1"/>
    </xf>
    <xf numFmtId="1" fontId="81" fillId="51" borderId="29" xfId="0" applyNumberFormat="1" applyFont="1" applyFill="1" applyBorder="1" applyAlignment="1">
      <alignment horizontal="center" vertical="center" wrapText="1"/>
    </xf>
    <xf numFmtId="1" fontId="81" fillId="38" borderId="29" xfId="0" applyNumberFormat="1" applyFont="1" applyFill="1" applyBorder="1" applyAlignment="1">
      <alignment horizontal="center" vertical="center" wrapText="1"/>
    </xf>
    <xf numFmtId="1" fontId="81" fillId="36" borderId="29" xfId="0" applyNumberFormat="1" applyFont="1" applyFill="1" applyBorder="1" applyAlignment="1">
      <alignment horizontal="center" vertical="center" wrapText="1"/>
    </xf>
    <xf numFmtId="169" fontId="81" fillId="52" borderId="29" xfId="0" applyNumberFormat="1" applyFont="1" applyFill="1" applyBorder="1" applyAlignment="1">
      <alignment horizontal="center" vertical="center" wrapText="1"/>
    </xf>
    <xf numFmtId="0" fontId="81" fillId="0" borderId="85" xfId="0" applyFont="1" applyBorder="1" applyAlignment="1">
      <alignment vertical="center"/>
    </xf>
    <xf numFmtId="166" fontId="81" fillId="0" borderId="85" xfId="0" applyNumberFormat="1" applyFont="1" applyFill="1" applyBorder="1" applyAlignment="1">
      <alignment horizontal="left" vertical="center"/>
    </xf>
    <xf numFmtId="166" fontId="81" fillId="0" borderId="0" xfId="0" applyNumberFormat="1" applyFont="1" applyFill="1" applyAlignment="1">
      <alignment vertical="center"/>
    </xf>
    <xf numFmtId="0" fontId="81" fillId="0" borderId="51" xfId="0" applyFont="1" applyFill="1" applyBorder="1" applyAlignment="1">
      <alignment vertical="center"/>
    </xf>
    <xf numFmtId="0" fontId="81" fillId="0" borderId="0" xfId="0" applyFont="1" applyFill="1" applyAlignment="1">
      <alignment horizontal="center" vertical="center"/>
    </xf>
    <xf numFmtId="166" fontId="81" fillId="0" borderId="0" xfId="0" applyNumberFormat="1" applyFont="1" applyFill="1" applyAlignment="1">
      <alignment horizontal="center" vertical="center"/>
    </xf>
    <xf numFmtId="0" fontId="81" fillId="0" borderId="52" xfId="0" applyFont="1" applyFill="1" applyBorder="1" applyAlignment="1">
      <alignment vertical="center"/>
    </xf>
    <xf numFmtId="0" fontId="65" fillId="0" borderId="84" xfId="0" applyFont="1" applyBorder="1" applyAlignment="1">
      <alignment vertical="center"/>
    </xf>
    <xf numFmtId="0" fontId="65" fillId="0" borderId="84" xfId="0" applyFont="1" applyBorder="1" applyAlignment="1">
      <alignment vertical="center" wrapText="1"/>
    </xf>
    <xf numFmtId="0" fontId="65" fillId="0" borderId="84" xfId="0" applyFont="1" applyFill="1" applyBorder="1" applyAlignment="1">
      <alignment horizontal="left" vertical="center"/>
    </xf>
    <xf numFmtId="0" fontId="81" fillId="0" borderId="84" xfId="0" applyFont="1" applyBorder="1" applyAlignment="1">
      <alignment vertical="center"/>
    </xf>
    <xf numFmtId="0" fontId="64" fillId="0" borderId="84" xfId="0" applyFont="1" applyBorder="1" applyAlignment="1">
      <alignment vertical="center" wrapText="1"/>
    </xf>
    <xf numFmtId="0" fontId="65" fillId="0" borderId="85" xfId="0" applyFont="1" applyBorder="1" applyAlignment="1">
      <alignment vertical="center" wrapText="1"/>
    </xf>
    <xf numFmtId="0" fontId="64" fillId="0" borderId="85" xfId="0" applyFont="1" applyBorder="1" applyAlignment="1">
      <alignment vertical="center" wrapText="1"/>
    </xf>
    <xf numFmtId="0" fontId="65" fillId="0" borderId="86" xfId="0" applyFont="1" applyBorder="1" applyAlignment="1">
      <alignment vertical="center"/>
    </xf>
    <xf numFmtId="0" fontId="65" fillId="0" borderId="86" xfId="0" applyFont="1" applyBorder="1" applyAlignment="1">
      <alignment vertical="center" wrapText="1"/>
    </xf>
    <xf numFmtId="0" fontId="65" fillId="0" borderId="86" xfId="0" applyFont="1" applyFill="1" applyBorder="1" applyAlignment="1">
      <alignment horizontal="left" vertical="center"/>
    </xf>
    <xf numFmtId="0" fontId="81" fillId="0" borderId="86" xfId="0" applyFont="1" applyBorder="1" applyAlignment="1">
      <alignment vertical="center"/>
    </xf>
    <xf numFmtId="0" fontId="64" fillId="0" borderId="86" xfId="0" applyFont="1" applyBorder="1" applyAlignment="1">
      <alignment vertical="center" wrapText="1"/>
    </xf>
    <xf numFmtId="0" fontId="82" fillId="0" borderId="0" xfId="51" applyFont="1" applyAlignment="1">
      <alignment horizontal="center" vertical="center"/>
    </xf>
    <xf numFmtId="1" fontId="83" fillId="44" borderId="0" xfId="0" applyNumberFormat="1" applyFont="1" applyFill="1" applyBorder="1" applyAlignment="1">
      <alignment horizontal="center" vertical="center"/>
    </xf>
    <xf numFmtId="0" fontId="81" fillId="0" borderId="84" xfId="0" applyFont="1" applyBorder="1" applyAlignment="1">
      <alignment horizontal="center" vertical="center"/>
    </xf>
    <xf numFmtId="0" fontId="81" fillId="0" borderId="85" xfId="0" applyFont="1" applyBorder="1" applyAlignment="1">
      <alignment horizontal="center" vertical="center"/>
    </xf>
    <xf numFmtId="0" fontId="81" fillId="0" borderId="86" xfId="0" applyFont="1" applyBorder="1" applyAlignment="1">
      <alignment horizontal="center" vertical="center"/>
    </xf>
    <xf numFmtId="0" fontId="84" fillId="0" borderId="85" xfId="0" applyFont="1" applyBorder="1" applyAlignment="1">
      <alignment vertical="center" wrapText="1"/>
    </xf>
    <xf numFmtId="0" fontId="84" fillId="0" borderId="84" xfId="0" applyFont="1" applyBorder="1" applyAlignment="1">
      <alignment vertical="center" wrapText="1"/>
    </xf>
    <xf numFmtId="0" fontId="84" fillId="0" borderId="86" xfId="0" applyFont="1" applyBorder="1" applyAlignment="1">
      <alignment vertical="center" wrapText="1"/>
    </xf>
    <xf numFmtId="166" fontId="55" fillId="0" borderId="0" xfId="0" applyNumberFormat="1" applyFont="1" applyFill="1" applyAlignment="1">
      <alignment vertical="center"/>
    </xf>
    <xf numFmtId="0" fontId="85" fillId="0" borderId="0" xfId="0" applyFont="1" applyAlignment="1">
      <alignment vertical="center"/>
    </xf>
    <xf numFmtId="3" fontId="86" fillId="0" borderId="0" xfId="51" applyNumberFormat="1" applyFont="1" applyAlignment="1">
      <alignment horizontal="center" vertical="center"/>
    </xf>
    <xf numFmtId="3" fontId="87" fillId="0" borderId="29" xfId="51" applyNumberFormat="1" applyFont="1" applyBorder="1" applyAlignment="1">
      <alignment horizontal="center" vertical="center"/>
    </xf>
    <xf numFmtId="0" fontId="88" fillId="0" borderId="29" xfId="0" applyFont="1" applyBorder="1" applyAlignment="1">
      <alignment vertical="center"/>
    </xf>
    <xf numFmtId="0" fontId="89" fillId="0" borderId="29" xfId="51" applyFont="1" applyBorder="1" applyAlignment="1">
      <alignment horizontal="center" vertical="center"/>
    </xf>
    <xf numFmtId="3" fontId="90" fillId="0" borderId="29" xfId="51" applyNumberFormat="1" applyFont="1" applyBorder="1" applyAlignment="1">
      <alignment horizontal="center" vertical="center"/>
    </xf>
    <xf numFmtId="0" fontId="88" fillId="0" borderId="29" xfId="0" applyFont="1" applyBorder="1" applyAlignment="1">
      <alignment horizontal="center" vertical="center"/>
    </xf>
    <xf numFmtId="9" fontId="90" fillId="0" borderId="29" xfId="51" applyNumberFormat="1" applyFont="1" applyBorder="1" applyAlignment="1">
      <alignment horizontal="center" vertical="center"/>
    </xf>
    <xf numFmtId="0" fontId="91" fillId="0" borderId="29" xfId="51" applyFont="1" applyBorder="1" applyAlignment="1">
      <alignment horizontal="right" vertical="center"/>
    </xf>
    <xf numFmtId="3" fontId="92" fillId="0" borderId="29" xfId="51" applyNumberFormat="1" applyFont="1" applyBorder="1" applyAlignment="1">
      <alignment horizontal="center" vertical="center"/>
    </xf>
    <xf numFmtId="3" fontId="93" fillId="0" borderId="29" xfId="51" applyNumberFormat="1" applyFont="1" applyBorder="1" applyAlignment="1">
      <alignment horizontal="center" vertical="center"/>
    </xf>
    <xf numFmtId="0" fontId="94" fillId="0" borderId="0" xfId="0" applyFont="1" applyFill="1" applyAlignment="1">
      <alignment vertical="center"/>
    </xf>
    <xf numFmtId="0" fontId="94" fillId="0" borderId="0" xfId="0" applyFont="1" applyFill="1" applyAlignment="1">
      <alignment horizontal="center" vertical="center"/>
    </xf>
    <xf numFmtId="171" fontId="57" fillId="0" borderId="38" xfId="0" applyNumberFormat="1" applyFont="1" applyFill="1" applyBorder="1" applyAlignment="1" applyProtection="1">
      <alignment horizontal="center" vertical="center"/>
    </xf>
    <xf numFmtId="164" fontId="32" fillId="0" borderId="87" xfId="0" applyNumberFormat="1" applyFont="1" applyFill="1" applyBorder="1" applyAlignment="1" applyProtection="1">
      <alignment horizontal="center" vertical="center"/>
      <protection locked="0"/>
    </xf>
    <xf numFmtId="3" fontId="7" fillId="0" borderId="151" xfId="0" applyNumberFormat="1" applyFont="1" applyBorder="1" applyAlignment="1" applyProtection="1">
      <alignment vertical="center"/>
      <protection locked="0"/>
    </xf>
    <xf numFmtId="3" fontId="7" fillId="0" borderId="147" xfId="0" applyNumberFormat="1" applyFont="1" applyBorder="1" applyAlignment="1" applyProtection="1">
      <alignment vertical="center"/>
      <protection locked="0"/>
    </xf>
    <xf numFmtId="3" fontId="71" fillId="0" borderId="147" xfId="0" applyNumberFormat="1" applyFont="1" applyBorder="1" applyAlignment="1" applyProtection="1">
      <alignment vertical="center"/>
      <protection locked="0"/>
    </xf>
    <xf numFmtId="3" fontId="7" fillId="0" borderId="151" xfId="0" applyNumberFormat="1" applyFont="1" applyBorder="1" applyAlignment="1" applyProtection="1">
      <alignment vertical="center" wrapText="1"/>
      <protection locked="0"/>
    </xf>
    <xf numFmtId="3" fontId="7" fillId="0" borderId="147" xfId="0" applyNumberFormat="1" applyFont="1" applyBorder="1" applyAlignment="1" applyProtection="1">
      <alignment vertical="center" wrapText="1"/>
      <protection locked="0"/>
    </xf>
    <xf numFmtId="16" fontId="5" fillId="33" borderId="65" xfId="0" applyNumberFormat="1" applyFont="1" applyFill="1" applyBorder="1" applyAlignment="1" applyProtection="1">
      <alignment horizontal="center" vertical="center"/>
      <protection locked="0"/>
    </xf>
    <xf numFmtId="16" fontId="7" fillId="33" borderId="77" xfId="0" applyNumberFormat="1" applyFont="1" applyFill="1" applyBorder="1" applyAlignment="1" applyProtection="1">
      <alignment horizontal="center" vertical="center"/>
      <protection locked="0"/>
    </xf>
    <xf numFmtId="0" fontId="65" fillId="42" borderId="85" xfId="0" applyFont="1" applyFill="1" applyBorder="1" applyAlignment="1">
      <alignment vertical="center"/>
    </xf>
    <xf numFmtId="0" fontId="65" fillId="42" borderId="85" xfId="0" applyFont="1" applyFill="1" applyBorder="1" applyAlignment="1">
      <alignment vertical="center" wrapText="1"/>
    </xf>
    <xf numFmtId="0" fontId="65" fillId="42" borderId="85" xfId="0" applyFont="1" applyFill="1" applyBorder="1" applyAlignment="1">
      <alignment horizontal="left" vertical="center"/>
    </xf>
    <xf numFmtId="0" fontId="81" fillId="42" borderId="85" xfId="0" applyFont="1" applyFill="1" applyBorder="1" applyAlignment="1">
      <alignment horizontal="center" vertical="center"/>
    </xf>
    <xf numFmtId="0" fontId="64" fillId="42" borderId="85" xfId="0" applyFont="1" applyFill="1" applyBorder="1" applyAlignment="1">
      <alignment vertical="center" wrapText="1"/>
    </xf>
    <xf numFmtId="0" fontId="84" fillId="42" borderId="85" xfId="0" applyFont="1" applyFill="1" applyBorder="1" applyAlignment="1">
      <alignment vertical="center" wrapText="1"/>
    </xf>
    <xf numFmtId="0" fontId="95" fillId="0" borderId="0" xfId="0" applyFont="1" applyFill="1" applyAlignment="1">
      <alignment horizontal="center" vertical="center"/>
    </xf>
    <xf numFmtId="166" fontId="96" fillId="0" borderId="0" xfId="0" applyNumberFormat="1" applyFont="1" applyFill="1" applyAlignment="1">
      <alignment vertical="center"/>
    </xf>
    <xf numFmtId="166" fontId="76" fillId="0" borderId="0" xfId="51" applyNumberFormat="1" applyFont="1" applyAlignment="1">
      <alignment horizontal="center" vertical="center"/>
    </xf>
    <xf numFmtId="3" fontId="7" fillId="0" borderId="29" xfId="0" applyNumberFormat="1" applyFont="1" applyBorder="1" applyAlignment="1" applyProtection="1">
      <alignment vertical="center"/>
      <protection locked="0"/>
    </xf>
    <xf numFmtId="0" fontId="72" fillId="0" borderId="152" xfId="0" applyFont="1" applyBorder="1" applyAlignment="1" applyProtection="1">
      <alignment vertical="center" wrapText="1"/>
      <protection locked="0"/>
    </xf>
    <xf numFmtId="0" fontId="72" fillId="0" borderId="153" xfId="0" applyFont="1" applyBorder="1" applyAlignment="1" applyProtection="1">
      <alignment vertical="center"/>
      <protection locked="0"/>
    </xf>
    <xf numFmtId="0" fontId="72" fillId="0" borderId="153" xfId="0" applyFont="1" applyBorder="1" applyAlignment="1" applyProtection="1">
      <alignment vertical="center" wrapText="1"/>
      <protection locked="0"/>
    </xf>
    <xf numFmtId="3" fontId="71" fillId="0" borderId="29" xfId="0" applyNumberFormat="1" applyFont="1" applyBorder="1" applyAlignment="1" applyProtection="1">
      <alignment vertical="center"/>
      <protection locked="0"/>
    </xf>
    <xf numFmtId="3" fontId="7" fillId="0" borderId="29" xfId="0" applyNumberFormat="1" applyFont="1" applyBorder="1" applyAlignment="1" applyProtection="1">
      <alignment vertical="center" wrapText="1"/>
      <protection locked="0"/>
    </xf>
    <xf numFmtId="0" fontId="72" fillId="0" borderId="152" xfId="0" applyFont="1" applyBorder="1" applyAlignment="1" applyProtection="1">
      <alignment vertical="center"/>
      <protection locked="0"/>
    </xf>
    <xf numFmtId="4" fontId="7" fillId="0" borderId="142" xfId="0" applyNumberFormat="1" applyFont="1" applyBorder="1" applyAlignment="1" applyProtection="1">
      <alignment horizontal="left" vertical="center"/>
      <protection locked="0"/>
    </xf>
    <xf numFmtId="169" fontId="81" fillId="0" borderId="29" xfId="0" applyNumberFormat="1" applyFont="1" applyFill="1" applyBorder="1" applyAlignment="1">
      <alignment horizontal="center" vertical="center" wrapText="1"/>
    </xf>
    <xf numFmtId="0" fontId="65" fillId="0" borderId="84" xfId="0" applyFont="1" applyFill="1" applyBorder="1" applyAlignment="1">
      <alignment vertical="center"/>
    </xf>
    <xf numFmtId="0" fontId="65" fillId="0" borderId="84" xfId="0" applyFont="1" applyFill="1" applyBorder="1" applyAlignment="1">
      <alignment vertical="center" wrapText="1"/>
    </xf>
    <xf numFmtId="0" fontId="81" fillId="0" borderId="84" xfId="0" applyFont="1" applyFill="1" applyBorder="1" applyAlignment="1">
      <alignment horizontal="center" vertical="center"/>
    </xf>
    <xf numFmtId="0" fontId="65" fillId="0" borderId="84" xfId="0" applyFont="1" applyFill="1" applyBorder="1" applyAlignment="1">
      <alignment horizontal="center" vertical="center"/>
    </xf>
    <xf numFmtId="0" fontId="81" fillId="0" borderId="84" xfId="0" applyFont="1" applyFill="1" applyBorder="1" applyAlignment="1">
      <alignment vertical="center"/>
    </xf>
    <xf numFmtId="0" fontId="65" fillId="0" borderId="50" xfId="0" applyFont="1" applyFill="1" applyBorder="1" applyAlignment="1">
      <alignment vertical="center"/>
    </xf>
    <xf numFmtId="0" fontId="65" fillId="0" borderId="85" xfId="0" applyFont="1" applyFill="1" applyBorder="1" applyAlignment="1">
      <alignment vertical="center"/>
    </xf>
    <xf numFmtId="0" fontId="65" fillId="0" borderId="85" xfId="0" applyFont="1" applyFill="1" applyBorder="1" applyAlignment="1">
      <alignment vertical="center" wrapText="1"/>
    </xf>
    <xf numFmtId="0" fontId="81" fillId="0" borderId="85" xfId="0" applyFont="1" applyFill="1" applyBorder="1" applyAlignment="1">
      <alignment horizontal="center" vertical="center"/>
    </xf>
    <xf numFmtId="0" fontId="65" fillId="0" borderId="85" xfId="0" applyFont="1" applyFill="1" applyBorder="1" applyAlignment="1">
      <alignment horizontal="center" vertical="center"/>
    </xf>
    <xf numFmtId="0" fontId="81" fillId="0" borderId="85" xfId="0" applyFont="1" applyFill="1" applyBorder="1" applyAlignment="1">
      <alignment vertical="center"/>
    </xf>
    <xf numFmtId="0" fontId="65" fillId="0" borderId="51" xfId="0" applyFont="1" applyFill="1" applyBorder="1" applyAlignment="1">
      <alignment vertical="center"/>
    </xf>
    <xf numFmtId="2" fontId="65" fillId="0" borderId="84" xfId="0" applyNumberFormat="1" applyFont="1" applyFill="1" applyBorder="1" applyAlignment="1">
      <alignment horizontal="center" vertical="center"/>
    </xf>
    <xf numFmtId="20" fontId="65" fillId="0" borderId="85" xfId="0" applyNumberFormat="1" applyFont="1" applyFill="1" applyBorder="1" applyAlignment="1">
      <alignment horizontal="center" vertical="center"/>
    </xf>
    <xf numFmtId="172" fontId="65" fillId="0" borderId="84" xfId="0" applyNumberFormat="1" applyFont="1" applyFill="1" applyBorder="1" applyAlignment="1">
      <alignment horizontal="center" vertical="center"/>
    </xf>
    <xf numFmtId="0" fontId="66" fillId="0" borderId="85" xfId="0" applyFont="1" applyFill="1" applyBorder="1" applyAlignment="1">
      <alignment vertical="center"/>
    </xf>
    <xf numFmtId="0" fontId="65" fillId="0" borderId="0" xfId="0" applyFont="1" applyFill="1" applyBorder="1" applyAlignment="1">
      <alignment horizontal="center" vertical="center"/>
    </xf>
    <xf numFmtId="172" fontId="65" fillId="0" borderId="85" xfId="0" applyNumberFormat="1" applyFont="1" applyFill="1" applyBorder="1" applyAlignment="1">
      <alignment horizontal="center" vertical="center"/>
    </xf>
    <xf numFmtId="2" fontId="81" fillId="0" borderId="29" xfId="0" applyNumberFormat="1" applyFont="1" applyFill="1" applyBorder="1" applyAlignment="1">
      <alignment horizontal="center" vertical="center" wrapText="1"/>
    </xf>
    <xf numFmtId="2" fontId="65" fillId="0" borderId="154" xfId="0" applyNumberFormat="1" applyFont="1" applyFill="1" applyBorder="1" applyAlignment="1">
      <alignment horizontal="center" vertical="center"/>
    </xf>
    <xf numFmtId="2" fontId="81" fillId="0" borderId="0" xfId="0" applyNumberFormat="1" applyFont="1" applyFill="1" applyAlignment="1">
      <alignment horizontal="center" vertical="center"/>
    </xf>
    <xf numFmtId="0" fontId="0" fillId="0" borderId="0" xfId="0" applyAlignment="1">
      <alignment horizontal="center"/>
    </xf>
    <xf numFmtId="0" fontId="0" fillId="0" borderId="95" xfId="0" applyBorder="1" applyAlignment="1">
      <alignment horizontal="center"/>
    </xf>
    <xf numFmtId="164" fontId="2" fillId="0" borderId="88" xfId="28" applyNumberFormat="1" applyFont="1" applyBorder="1" applyAlignment="1">
      <alignment horizontal="center" vertical="center"/>
    </xf>
    <xf numFmtId="164" fontId="2" fillId="0" borderId="89" xfId="28" applyNumberFormat="1" applyFont="1" applyBorder="1" applyAlignment="1">
      <alignment horizontal="center" vertical="center"/>
    </xf>
    <xf numFmtId="1" fontId="2" fillId="0" borderId="88" xfId="28" applyNumberFormat="1" applyFont="1" applyBorder="1" applyAlignment="1">
      <alignment horizontal="center" vertical="center"/>
    </xf>
    <xf numFmtId="1" fontId="2" fillId="0" borderId="89" xfId="28" applyNumberFormat="1" applyFont="1" applyBorder="1" applyAlignment="1">
      <alignment horizontal="center" vertical="center"/>
    </xf>
    <xf numFmtId="164" fontId="3" fillId="0" borderId="88" xfId="28" applyNumberFormat="1" applyFont="1" applyBorder="1" applyAlignment="1">
      <alignment horizontal="center" vertical="center"/>
    </xf>
    <xf numFmtId="164" fontId="3" fillId="0" borderId="89" xfId="28" applyNumberFormat="1" applyFont="1" applyBorder="1" applyAlignment="1">
      <alignment horizontal="center" vertical="center"/>
    </xf>
    <xf numFmtId="164" fontId="5" fillId="53" borderId="92" xfId="28" applyNumberFormat="1" applyFont="1" applyFill="1" applyBorder="1" applyAlignment="1">
      <alignment horizontal="center" vertical="center"/>
    </xf>
    <xf numFmtId="164" fontId="5" fillId="53" borderId="93" xfId="28" applyNumberFormat="1" applyFont="1" applyFill="1" applyBorder="1" applyAlignment="1">
      <alignment horizontal="center" vertical="center"/>
    </xf>
    <xf numFmtId="164" fontId="5" fillId="53" borderId="94" xfId="28" applyNumberFormat="1" applyFont="1" applyFill="1" applyBorder="1" applyAlignment="1">
      <alignment horizontal="center" vertical="center"/>
    </xf>
    <xf numFmtId="1" fontId="3" fillId="0" borderId="88" xfId="0" applyNumberFormat="1" applyFont="1" applyBorder="1" applyAlignment="1">
      <alignment horizontal="center" vertical="center"/>
    </xf>
    <xf numFmtId="1" fontId="3" fillId="0" borderId="89" xfId="0" applyNumberFormat="1" applyFont="1" applyBorder="1" applyAlignment="1">
      <alignment horizontal="center" vertical="center"/>
    </xf>
    <xf numFmtId="164" fontId="2" fillId="0" borderId="96" xfId="28" applyNumberFormat="1" applyFont="1" applyBorder="1" applyAlignment="1">
      <alignment horizontal="center" vertical="center"/>
    </xf>
    <xf numFmtId="164" fontId="2" fillId="0" borderId="97" xfId="28" applyNumberFormat="1" applyFont="1" applyBorder="1" applyAlignment="1">
      <alignment horizontal="center" vertical="center"/>
    </xf>
    <xf numFmtId="164" fontId="3" fillId="0" borderId="96" xfId="28" applyNumberFormat="1" applyFont="1" applyBorder="1" applyAlignment="1">
      <alignment horizontal="center" vertical="center"/>
    </xf>
    <xf numFmtId="164" fontId="3" fillId="0" borderId="97" xfId="28" applyNumberFormat="1" applyFont="1" applyBorder="1" applyAlignment="1">
      <alignment horizontal="center" vertical="center"/>
    </xf>
    <xf numFmtId="164" fontId="2" fillId="0" borderId="90" xfId="28" applyNumberFormat="1" applyFont="1" applyBorder="1" applyAlignment="1">
      <alignment horizontal="center" vertical="center"/>
    </xf>
    <xf numFmtId="164" fontId="2" fillId="0" borderId="91" xfId="28" applyNumberFormat="1" applyFont="1" applyBorder="1" applyAlignment="1">
      <alignment horizontal="center" vertical="center"/>
    </xf>
    <xf numFmtId="0" fontId="6" fillId="0" borderId="24" xfId="0" applyFont="1" applyBorder="1" applyAlignment="1">
      <alignment horizontal="left"/>
    </xf>
    <xf numFmtId="0" fontId="6" fillId="0" borderId="98" xfId="0" applyFont="1" applyBorder="1" applyAlignment="1">
      <alignment horizontal="left"/>
    </xf>
    <xf numFmtId="0" fontId="5" fillId="0" borderId="16"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100" xfId="0" applyFont="1" applyBorder="1" applyAlignment="1">
      <alignment horizontal="center" vertical="center" wrapText="1"/>
    </xf>
    <xf numFmtId="0" fontId="6" fillId="33" borderId="16" xfId="0" applyFont="1" applyFill="1" applyBorder="1" applyAlignment="1">
      <alignment horizontal="center" vertical="center" wrapText="1"/>
    </xf>
    <xf numFmtId="0" fontId="6" fillId="33" borderId="99" xfId="0" applyFont="1" applyFill="1" applyBorder="1" applyAlignment="1">
      <alignment horizontal="center" vertical="center" wrapText="1"/>
    </xf>
    <xf numFmtId="0" fontId="6" fillId="0" borderId="101" xfId="0" applyFont="1" applyBorder="1" applyAlignment="1">
      <alignment horizontal="center" vertical="center" textRotation="45"/>
    </xf>
    <xf numFmtId="0" fontId="6" fillId="0" borderId="2" xfId="0" applyFont="1" applyBorder="1" applyAlignment="1">
      <alignment horizontal="center" vertical="center" textRotation="45"/>
    </xf>
    <xf numFmtId="0" fontId="6" fillId="0" borderId="102" xfId="0" applyFont="1" applyBorder="1" applyAlignment="1">
      <alignment horizontal="center" vertical="center" textRotation="45"/>
    </xf>
    <xf numFmtId="164" fontId="3" fillId="0" borderId="90" xfId="28" applyNumberFormat="1" applyFont="1" applyBorder="1" applyAlignment="1">
      <alignment horizontal="center" vertical="center"/>
    </xf>
    <xf numFmtId="164" fontId="3" fillId="0" borderId="91" xfId="28" applyNumberFormat="1" applyFont="1" applyBorder="1" applyAlignment="1">
      <alignment horizontal="center" vertical="center"/>
    </xf>
    <xf numFmtId="164" fontId="0" fillId="0" borderId="88" xfId="0" applyNumberFormat="1" applyFont="1" applyBorder="1" applyAlignment="1" applyProtection="1">
      <alignment horizontal="center" vertical="center"/>
    </xf>
    <xf numFmtId="164" fontId="0" fillId="0" borderId="103" xfId="0" applyNumberFormat="1" applyFont="1" applyBorder="1" applyAlignment="1" applyProtection="1">
      <alignment horizontal="center" vertical="center"/>
    </xf>
    <xf numFmtId="164" fontId="62" fillId="0" borderId="90" xfId="0" applyNumberFormat="1" applyFont="1" applyBorder="1" applyAlignment="1" applyProtection="1">
      <alignment horizontal="center" vertical="center"/>
    </xf>
    <xf numFmtId="164" fontId="62" fillId="0" borderId="104" xfId="0" applyNumberFormat="1" applyFont="1" applyBorder="1" applyAlignment="1" applyProtection="1">
      <alignment horizontal="center" vertical="center"/>
    </xf>
    <xf numFmtId="0" fontId="57" fillId="0" borderId="88" xfId="0" applyNumberFormat="1" applyFont="1" applyFill="1" applyBorder="1" applyAlignment="1" applyProtection="1">
      <alignment horizontal="center" vertical="center" wrapText="1"/>
      <protection locked="0"/>
    </xf>
    <xf numFmtId="0" fontId="57" fillId="0" borderId="26" xfId="0" applyNumberFormat="1" applyFont="1" applyFill="1" applyBorder="1" applyAlignment="1" applyProtection="1">
      <alignment horizontal="center" vertical="center" wrapText="1"/>
      <protection locked="0"/>
    </xf>
    <xf numFmtId="0" fontId="97" fillId="36" borderId="59" xfId="0" applyNumberFormat="1" applyFont="1" applyFill="1" applyBorder="1" applyAlignment="1" applyProtection="1">
      <alignment horizontal="center" vertical="center" wrapText="1"/>
      <protection locked="0"/>
    </xf>
    <xf numFmtId="0" fontId="97" fillId="36" borderId="105" xfId="0" applyNumberFormat="1" applyFont="1" applyFill="1" applyBorder="1" applyAlignment="1" applyProtection="1">
      <alignment horizontal="center" vertical="center" wrapText="1"/>
      <protection locked="0"/>
    </xf>
    <xf numFmtId="0" fontId="97" fillId="36" borderId="106" xfId="0" applyNumberFormat="1" applyFont="1" applyFill="1" applyBorder="1" applyAlignment="1" applyProtection="1">
      <alignment horizontal="center" vertical="center" wrapText="1"/>
      <protection locked="0"/>
    </xf>
    <xf numFmtId="0" fontId="55" fillId="36" borderId="107" xfId="0" applyNumberFormat="1" applyFont="1" applyFill="1" applyBorder="1" applyAlignment="1" applyProtection="1">
      <alignment horizontal="center" vertical="center" wrapText="1"/>
      <protection locked="0"/>
    </xf>
    <xf numFmtId="0" fontId="55" fillId="36" borderId="29" xfId="0" applyNumberFormat="1" applyFont="1" applyFill="1" applyBorder="1" applyAlignment="1" applyProtection="1">
      <alignment horizontal="center" vertical="center" wrapText="1"/>
      <protection locked="0"/>
    </xf>
    <xf numFmtId="1" fontId="52" fillId="0" borderId="108" xfId="0" applyNumberFormat="1" applyFont="1" applyFill="1" applyBorder="1" applyAlignment="1" applyProtection="1">
      <alignment horizontal="center" vertical="center" wrapText="1"/>
      <protection locked="0"/>
    </xf>
    <xf numFmtId="1" fontId="52" fillId="0" borderId="109" xfId="0" applyNumberFormat="1" applyFont="1" applyFill="1" applyBorder="1" applyAlignment="1" applyProtection="1">
      <alignment horizontal="center" vertical="center" wrapText="1"/>
      <protection locked="0"/>
    </xf>
    <xf numFmtId="1" fontId="52" fillId="0" borderId="65" xfId="0" applyNumberFormat="1" applyFont="1" applyFill="1" applyBorder="1" applyAlignment="1" applyProtection="1">
      <alignment horizontal="center" vertical="center" wrapText="1"/>
      <protection locked="0"/>
    </xf>
    <xf numFmtId="3" fontId="52" fillId="36" borderId="0" xfId="0" applyNumberFormat="1" applyFont="1" applyFill="1" applyBorder="1" applyAlignment="1" applyProtection="1">
      <alignment horizontal="left" vertical="center"/>
    </xf>
    <xf numFmtId="2" fontId="61" fillId="0" borderId="110" xfId="0" applyNumberFormat="1" applyFont="1" applyFill="1" applyBorder="1" applyAlignment="1" applyProtection="1">
      <alignment horizontal="center" vertical="center"/>
      <protection locked="0"/>
    </xf>
    <xf numFmtId="2" fontId="61" fillId="0" borderId="72" xfId="0" applyNumberFormat="1" applyFont="1" applyFill="1" applyBorder="1" applyAlignment="1" applyProtection="1">
      <alignment horizontal="center" vertical="center"/>
      <protection locked="0"/>
    </xf>
    <xf numFmtId="0" fontId="61" fillId="0" borderId="111" xfId="0" applyFont="1" applyFill="1" applyBorder="1" applyAlignment="1" applyProtection="1">
      <alignment horizontal="center" vertical="center"/>
      <protection locked="0"/>
    </xf>
    <xf numFmtId="0" fontId="61" fillId="0" borderId="74" xfId="0" applyFont="1" applyFill="1" applyBorder="1" applyAlignment="1" applyProtection="1">
      <alignment horizontal="center" vertical="center"/>
      <protection locked="0"/>
    </xf>
    <xf numFmtId="0" fontId="62" fillId="39" borderId="80" xfId="0" applyFont="1" applyFill="1" applyBorder="1" applyAlignment="1" applyProtection="1">
      <alignment horizontal="center" vertical="center"/>
      <protection locked="0"/>
    </xf>
    <xf numFmtId="0" fontId="19" fillId="0" borderId="112" xfId="0" applyFont="1" applyFill="1" applyBorder="1" applyAlignment="1" applyProtection="1">
      <alignment horizontal="center" vertical="center" textRotation="90"/>
      <protection locked="0"/>
    </xf>
    <xf numFmtId="0" fontId="19" fillId="0" borderId="113" xfId="0" applyFont="1" applyFill="1" applyBorder="1" applyAlignment="1" applyProtection="1">
      <alignment horizontal="center" vertical="center" textRotation="90"/>
      <protection locked="0"/>
    </xf>
    <xf numFmtId="0" fontId="19" fillId="0" borderId="114" xfId="0" applyFont="1" applyFill="1" applyBorder="1" applyAlignment="1" applyProtection="1">
      <alignment horizontal="center" vertical="center" textRotation="90"/>
      <protection locked="0"/>
    </xf>
    <xf numFmtId="164" fontId="14" fillId="34" borderId="88" xfId="28" applyNumberFormat="1" applyFont="1" applyFill="1" applyBorder="1" applyAlignment="1" applyProtection="1">
      <alignment horizontal="center" vertical="center" wrapText="1"/>
      <protection locked="0"/>
    </xf>
    <xf numFmtId="164" fontId="14" fillId="34" borderId="26" xfId="28" applyNumberFormat="1" applyFont="1" applyFill="1" applyBorder="1" applyAlignment="1" applyProtection="1">
      <alignment horizontal="center" vertical="center" wrapText="1"/>
      <protection locked="0"/>
    </xf>
    <xf numFmtId="3" fontId="52" fillId="36" borderId="65" xfId="0" applyNumberFormat="1" applyFont="1" applyFill="1" applyBorder="1" applyAlignment="1" applyProtection="1">
      <alignment horizontal="left" vertical="center"/>
    </xf>
    <xf numFmtId="3" fontId="52" fillId="36" borderId="115" xfId="0" applyNumberFormat="1" applyFont="1" applyFill="1" applyBorder="1" applyAlignment="1" applyProtection="1">
      <alignment horizontal="left" vertical="center"/>
    </xf>
    <xf numFmtId="0" fontId="61" fillId="0" borderId="116" xfId="0" applyFont="1" applyFill="1" applyBorder="1" applyAlignment="1" applyProtection="1">
      <alignment horizontal="center" vertical="center"/>
      <protection locked="0"/>
    </xf>
    <xf numFmtId="0" fontId="61" fillId="0" borderId="117" xfId="0" applyFont="1" applyFill="1" applyBorder="1" applyAlignment="1" applyProtection="1">
      <alignment horizontal="center" vertical="center"/>
      <protection locked="0"/>
    </xf>
    <xf numFmtId="3" fontId="52" fillId="36" borderId="68" xfId="0" applyNumberFormat="1" applyFont="1" applyFill="1" applyBorder="1" applyAlignment="1" applyProtection="1">
      <alignment horizontal="left" vertical="center"/>
    </xf>
    <xf numFmtId="2" fontId="81" fillId="0" borderId="0" xfId="0" applyNumberFormat="1" applyFont="1" applyFill="1" applyAlignment="1" applyProtection="1">
      <alignment horizontal="left" vertical="center"/>
      <protection locked="0"/>
    </xf>
    <xf numFmtId="2" fontId="81" fillId="0" borderId="71" xfId="0" applyNumberFormat="1" applyFont="1" applyFill="1" applyBorder="1" applyAlignment="1" applyProtection="1">
      <alignment horizontal="left" vertical="center"/>
      <protection locked="0"/>
    </xf>
    <xf numFmtId="0" fontId="10" fillId="38" borderId="80" xfId="0" applyFont="1" applyFill="1" applyBorder="1" applyAlignment="1" applyProtection="1">
      <alignment horizontal="center" vertical="center"/>
      <protection locked="0"/>
    </xf>
    <xf numFmtId="0" fontId="10" fillId="38" borderId="118" xfId="0" applyFont="1" applyFill="1" applyBorder="1" applyAlignment="1" applyProtection="1">
      <alignment horizontal="center" vertical="center"/>
      <protection locked="0"/>
    </xf>
    <xf numFmtId="0" fontId="61" fillId="0" borderId="110" xfId="0" applyFont="1" applyFill="1" applyBorder="1" applyAlignment="1" applyProtection="1">
      <alignment horizontal="center" vertical="center"/>
      <protection locked="0"/>
    </xf>
    <xf numFmtId="0" fontId="61" fillId="0" borderId="72" xfId="0" applyFont="1" applyFill="1" applyBorder="1" applyAlignment="1" applyProtection="1">
      <alignment horizontal="center" vertical="center"/>
      <protection locked="0"/>
    </xf>
    <xf numFmtId="0" fontId="61" fillId="38" borderId="119" xfId="0" applyFont="1" applyFill="1" applyBorder="1" applyAlignment="1" applyProtection="1">
      <alignment horizontal="center" vertical="center"/>
      <protection locked="0"/>
    </xf>
    <xf numFmtId="0" fontId="61" fillId="38" borderId="80" xfId="0" applyFont="1" applyFill="1" applyBorder="1" applyAlignment="1" applyProtection="1">
      <alignment horizontal="center" vertical="center"/>
      <protection locked="0"/>
    </xf>
    <xf numFmtId="0" fontId="55" fillId="36" borderId="120" xfId="0" applyNumberFormat="1" applyFont="1" applyFill="1" applyBorder="1" applyAlignment="1" applyProtection="1">
      <alignment horizontal="center" vertical="center" wrapText="1"/>
      <protection locked="0"/>
    </xf>
    <xf numFmtId="0" fontId="55" fillId="36" borderId="121" xfId="0" applyNumberFormat="1" applyFont="1" applyFill="1" applyBorder="1" applyAlignment="1" applyProtection="1">
      <alignment horizontal="center" vertical="center" wrapText="1"/>
      <protection locked="0"/>
    </xf>
    <xf numFmtId="0" fontId="61" fillId="0" borderId="122" xfId="0" applyFont="1" applyFill="1" applyBorder="1" applyAlignment="1" applyProtection="1">
      <alignment horizontal="center" vertical="center"/>
      <protection locked="0"/>
    </xf>
    <xf numFmtId="0" fontId="61" fillId="0" borderId="61" xfId="0" applyFont="1" applyFill="1" applyBorder="1" applyAlignment="1" applyProtection="1">
      <alignment horizontal="center" vertical="center"/>
      <protection locked="0"/>
    </xf>
    <xf numFmtId="16" fontId="5" fillId="33" borderId="65" xfId="0" applyNumberFormat="1" applyFont="1" applyFill="1" applyBorder="1" applyAlignment="1" applyProtection="1">
      <alignment horizontal="center" vertical="center"/>
      <protection locked="0"/>
    </xf>
    <xf numFmtId="16" fontId="5" fillId="33" borderId="115" xfId="0" applyNumberFormat="1" applyFont="1" applyFill="1" applyBorder="1" applyAlignment="1" applyProtection="1">
      <alignment horizontal="center" vertical="center"/>
      <protection locked="0"/>
    </xf>
    <xf numFmtId="0" fontId="5" fillId="42" borderId="29" xfId="0" applyFont="1" applyFill="1" applyBorder="1" applyAlignment="1" applyProtection="1">
      <alignment horizontal="center" vertical="center"/>
      <protection locked="0"/>
    </xf>
    <xf numFmtId="0" fontId="7" fillId="42" borderId="123" xfId="0" applyFont="1" applyFill="1" applyBorder="1" applyAlignment="1" applyProtection="1">
      <alignment horizontal="center" vertical="center"/>
      <protection locked="0"/>
    </xf>
    <xf numFmtId="0" fontId="7" fillId="42" borderId="29" xfId="0" applyFont="1" applyFill="1" applyBorder="1" applyAlignment="1" applyProtection="1">
      <alignment horizontal="center" vertical="center"/>
      <protection locked="0"/>
    </xf>
    <xf numFmtId="0" fontId="7" fillId="42" borderId="65" xfId="0" applyFont="1" applyFill="1" applyBorder="1" applyAlignment="1" applyProtection="1">
      <alignment horizontal="center" vertical="center" wrapText="1"/>
      <protection locked="0"/>
    </xf>
    <xf numFmtId="0" fontId="28" fillId="0" borderId="0" xfId="0" applyFont="1" applyAlignment="1" applyProtection="1">
      <alignment horizontal="center" vertical="center"/>
      <protection locked="0"/>
    </xf>
    <xf numFmtId="170" fontId="5" fillId="0" borderId="0" xfId="0" applyNumberFormat="1" applyFont="1" applyAlignment="1" applyProtection="1">
      <alignment horizontal="center" vertical="center"/>
    </xf>
    <xf numFmtId="3" fontId="5" fillId="0" borderId="0" xfId="0" applyNumberFormat="1" applyFont="1" applyAlignment="1" applyProtection="1">
      <alignment horizontal="center" vertical="center"/>
      <protection locked="0"/>
    </xf>
    <xf numFmtId="16" fontId="5" fillId="33" borderId="124" xfId="0" applyNumberFormat="1" applyFont="1" applyFill="1" applyBorder="1" applyAlignment="1" applyProtection="1">
      <alignment horizontal="center" vertical="center"/>
      <protection locked="0"/>
    </xf>
    <xf numFmtId="164" fontId="32" fillId="0" borderId="29" xfId="0" applyNumberFormat="1" applyFont="1" applyFill="1" applyBorder="1" applyAlignment="1" applyProtection="1">
      <alignment horizontal="center" vertical="center"/>
      <protection locked="0"/>
    </xf>
    <xf numFmtId="164" fontId="32" fillId="0" borderId="121" xfId="0" applyNumberFormat="1" applyFont="1" applyFill="1" applyBorder="1" applyAlignment="1" applyProtection="1">
      <alignment horizontal="center" vertical="center"/>
      <protection locked="0"/>
    </xf>
    <xf numFmtId="164" fontId="31" fillId="0" borderId="125" xfId="0" applyNumberFormat="1" applyFont="1" applyFill="1" applyBorder="1" applyAlignment="1" applyProtection="1">
      <alignment horizontal="center" vertical="center"/>
      <protection locked="0"/>
    </xf>
    <xf numFmtId="164" fontId="31" fillId="0" borderId="29" xfId="0" applyNumberFormat="1" applyFont="1" applyFill="1" applyBorder="1" applyAlignment="1" applyProtection="1">
      <alignment horizontal="center" vertical="center"/>
      <protection locked="0"/>
    </xf>
    <xf numFmtId="164" fontId="31" fillId="0" borderId="126" xfId="0" applyNumberFormat="1" applyFont="1" applyFill="1" applyBorder="1" applyAlignment="1" applyProtection="1">
      <alignment horizontal="center" vertical="center"/>
      <protection locked="0"/>
    </xf>
    <xf numFmtId="16" fontId="7" fillId="33" borderId="127" xfId="0" applyNumberFormat="1" applyFont="1" applyFill="1" applyBorder="1" applyAlignment="1" applyProtection="1">
      <alignment horizontal="center" vertical="center"/>
      <protection locked="0"/>
    </xf>
    <xf numFmtId="16" fontId="7" fillId="33" borderId="77" xfId="0" applyNumberFormat="1" applyFont="1" applyFill="1" applyBorder="1" applyAlignment="1" applyProtection="1">
      <alignment horizontal="center" vertical="center"/>
      <protection locked="0"/>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ellStyle name="Normal 13" xfId="40"/>
    <cellStyle name="Normal 2" xfId="41"/>
    <cellStyle name="Normal 2 2" xfId="42"/>
    <cellStyle name="Normal 3" xfId="43"/>
    <cellStyle name="Normal 3 2" xfId="44"/>
    <cellStyle name="Normal 4" xfId="45"/>
    <cellStyle name="Normal 5" xfId="46"/>
    <cellStyle name="Note 2" xfId="47"/>
    <cellStyle name="Output" xfId="48" builtinId="21" customBuiltin="1"/>
    <cellStyle name="Percent" xfId="49" builtinId="5"/>
    <cellStyle name="Percent 2" xfId="50"/>
    <cellStyle name="Title" xfId="51" builtinId="15" customBuiltin="1"/>
    <cellStyle name="Total" xfId="52" builtinId="25" customBuiltin="1"/>
    <cellStyle name="Warning Text" xfId="53" builtinId="11" customBuiltin="1"/>
  </cellStyles>
  <dxfs count="342">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FF0000"/>
                </a:solidFill>
              </a:rPr>
              <a:t>Chart Minutes/Times</a:t>
            </a:r>
          </a:p>
        </c:rich>
      </c:tx>
      <c:overlay val="0"/>
      <c:spPr>
        <a:noFill/>
        <a:ln w="25400">
          <a:noFill/>
        </a:ln>
      </c:spPr>
    </c:title>
    <c:autoTitleDeleted val="0"/>
    <c:plotArea>
      <c:layout>
        <c:manualLayout>
          <c:layoutTarget val="inner"/>
          <c:xMode val="edge"/>
          <c:yMode val="edge"/>
          <c:x val="6.9348355363887504E-2"/>
          <c:y val="0.19027763858265964"/>
          <c:w val="0.88674168853893265"/>
          <c:h val="0.67399743470231654"/>
        </c:manualLayout>
      </c:layout>
      <c:lineChart>
        <c:grouping val="standard"/>
        <c:varyColors val="0"/>
        <c:ser>
          <c:idx val="0"/>
          <c:order val="0"/>
          <c:spPr>
            <a:ln w="28575" cap="rnd">
              <a:solidFill>
                <a:schemeClr val="accent1"/>
              </a:solidFill>
              <a:round/>
            </a:ln>
            <a:effectLst/>
          </c:spPr>
          <c:marker>
            <c:symbol val="none"/>
          </c:marker>
          <c:cat>
            <c:numRef>
              <c:f>'Daily task'!$AG$6:$BJ$6</c:f>
              <c:numCache>
                <c:formatCode>h:mm;@</c:formatCode>
                <c:ptCount val="30"/>
                <c:pt idx="0">
                  <c:v>0.33333333333333326</c:v>
                </c:pt>
                <c:pt idx="1">
                  <c:v>0.35416666666666657</c:v>
                </c:pt>
                <c:pt idx="2">
                  <c:v>0.37499999999999989</c:v>
                </c:pt>
                <c:pt idx="3">
                  <c:v>0.3958333333333332</c:v>
                </c:pt>
                <c:pt idx="4">
                  <c:v>0.41666666666666652</c:v>
                </c:pt>
                <c:pt idx="5">
                  <c:v>0.43749999999999983</c:v>
                </c:pt>
                <c:pt idx="6">
                  <c:v>0.45833333333333315</c:v>
                </c:pt>
                <c:pt idx="7">
                  <c:v>0.47916666666666646</c:v>
                </c:pt>
                <c:pt idx="8">
                  <c:v>0.49999999999999978</c:v>
                </c:pt>
                <c:pt idx="9">
                  <c:v>0.52083333333333315</c:v>
                </c:pt>
                <c:pt idx="10">
                  <c:v>0.54166666666666652</c:v>
                </c:pt>
                <c:pt idx="11">
                  <c:v>0.56249999999999989</c:v>
                </c:pt>
                <c:pt idx="12">
                  <c:v>0.58333333333333326</c:v>
                </c:pt>
                <c:pt idx="13">
                  <c:v>0.60416666666666663</c:v>
                </c:pt>
                <c:pt idx="14">
                  <c:v>0.625</c:v>
                </c:pt>
                <c:pt idx="15">
                  <c:v>0.64583333333333337</c:v>
                </c:pt>
                <c:pt idx="16">
                  <c:v>0.66666666666666674</c:v>
                </c:pt>
                <c:pt idx="17">
                  <c:v>0.68750000000000011</c:v>
                </c:pt>
                <c:pt idx="18">
                  <c:v>0.70833333333333348</c:v>
                </c:pt>
                <c:pt idx="19">
                  <c:v>0.72916666666666685</c:v>
                </c:pt>
                <c:pt idx="20">
                  <c:v>0.75000000000000022</c:v>
                </c:pt>
                <c:pt idx="21">
                  <c:v>0.77083333333333359</c:v>
                </c:pt>
                <c:pt idx="22">
                  <c:v>0.79166666666666696</c:v>
                </c:pt>
                <c:pt idx="23">
                  <c:v>0.81250000000000033</c:v>
                </c:pt>
                <c:pt idx="24">
                  <c:v>0.8333333333333337</c:v>
                </c:pt>
                <c:pt idx="25">
                  <c:v>0.85416666666666707</c:v>
                </c:pt>
                <c:pt idx="26">
                  <c:v>0.87500000000000044</c:v>
                </c:pt>
                <c:pt idx="27">
                  <c:v>0.89583333333333381</c:v>
                </c:pt>
                <c:pt idx="28">
                  <c:v>0.91666666666666718</c:v>
                </c:pt>
                <c:pt idx="29">
                  <c:v>0.93750000000000056</c:v>
                </c:pt>
              </c:numCache>
            </c:numRef>
          </c:cat>
          <c:val>
            <c:numRef>
              <c:f>'Daily task'!$AG$66:$BJ$66</c:f>
              <c:numCache>
                <c:formatCode>#,##0.0</c:formatCode>
                <c:ptCount val="30"/>
                <c:pt idx="0">
                  <c:v>60</c:v>
                </c:pt>
                <c:pt idx="1">
                  <c:v>60</c:v>
                </c:pt>
                <c:pt idx="2">
                  <c:v>120</c:v>
                </c:pt>
                <c:pt idx="3">
                  <c:v>120</c:v>
                </c:pt>
                <c:pt idx="4">
                  <c:v>120</c:v>
                </c:pt>
                <c:pt idx="5">
                  <c:v>120</c:v>
                </c:pt>
                <c:pt idx="6">
                  <c:v>180</c:v>
                </c:pt>
                <c:pt idx="7">
                  <c:v>180</c:v>
                </c:pt>
                <c:pt idx="8">
                  <c:v>180</c:v>
                </c:pt>
                <c:pt idx="9">
                  <c:v>180</c:v>
                </c:pt>
                <c:pt idx="10">
                  <c:v>150</c:v>
                </c:pt>
                <c:pt idx="11">
                  <c:v>120</c:v>
                </c:pt>
                <c:pt idx="12">
                  <c:v>85</c:v>
                </c:pt>
                <c:pt idx="13">
                  <c:v>90</c:v>
                </c:pt>
                <c:pt idx="14">
                  <c:v>120</c:v>
                </c:pt>
                <c:pt idx="15">
                  <c:v>120</c:v>
                </c:pt>
                <c:pt idx="16">
                  <c:v>120</c:v>
                </c:pt>
                <c:pt idx="17">
                  <c:v>120</c:v>
                </c:pt>
                <c:pt idx="18">
                  <c:v>180</c:v>
                </c:pt>
                <c:pt idx="19">
                  <c:v>180</c:v>
                </c:pt>
                <c:pt idx="20">
                  <c:v>235</c:v>
                </c:pt>
                <c:pt idx="21">
                  <c:v>235</c:v>
                </c:pt>
                <c:pt idx="22">
                  <c:v>235</c:v>
                </c:pt>
                <c:pt idx="23">
                  <c:v>235</c:v>
                </c:pt>
                <c:pt idx="24">
                  <c:v>180</c:v>
                </c:pt>
                <c:pt idx="25">
                  <c:v>180</c:v>
                </c:pt>
                <c:pt idx="26">
                  <c:v>115</c:v>
                </c:pt>
                <c:pt idx="27">
                  <c:v>120</c:v>
                </c:pt>
                <c:pt idx="28">
                  <c:v>60</c:v>
                </c:pt>
                <c:pt idx="29">
                  <c:v>55</c:v>
                </c:pt>
              </c:numCache>
            </c:numRef>
          </c:val>
          <c:smooth val="0"/>
        </c:ser>
        <c:dLbls>
          <c:showLegendKey val="0"/>
          <c:showVal val="0"/>
          <c:showCatName val="0"/>
          <c:showSerName val="0"/>
          <c:showPercent val="0"/>
          <c:showBubbleSize val="0"/>
        </c:dLbls>
        <c:smooth val="0"/>
        <c:axId val="396971600"/>
        <c:axId val="396973952"/>
      </c:lineChart>
      <c:catAx>
        <c:axId val="396971600"/>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73952"/>
        <c:crosses val="autoZero"/>
        <c:auto val="1"/>
        <c:lblAlgn val="ctr"/>
        <c:lblOffset val="100"/>
        <c:noMultiLvlLbl val="0"/>
      </c:catAx>
      <c:valAx>
        <c:axId val="3969739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7160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FF0000"/>
                </a:solidFill>
              </a:rPr>
              <a:t>Chart Employee/Times</a:t>
            </a:r>
          </a:p>
        </c:rich>
      </c:tx>
      <c:overlay val="0"/>
      <c:spPr>
        <a:noFill/>
        <a:ln w="25400">
          <a:noFill/>
        </a:ln>
      </c:spPr>
    </c:title>
    <c:autoTitleDeleted val="0"/>
    <c:plotArea>
      <c:layout/>
      <c:lineChart>
        <c:grouping val="standard"/>
        <c:varyColors val="0"/>
        <c:ser>
          <c:idx val="0"/>
          <c:order val="0"/>
          <c:spPr>
            <a:ln w="28575" cap="rnd">
              <a:solidFill>
                <a:schemeClr val="accent1"/>
              </a:solidFill>
              <a:round/>
            </a:ln>
            <a:effectLst/>
          </c:spPr>
          <c:marker>
            <c:symbol val="none"/>
          </c:marker>
          <c:cat>
            <c:numRef>
              <c:f>'Daily task'!$AG$6:$BJ$6</c:f>
              <c:numCache>
                <c:formatCode>h:mm;@</c:formatCode>
                <c:ptCount val="30"/>
                <c:pt idx="0">
                  <c:v>0.33333333333333326</c:v>
                </c:pt>
                <c:pt idx="1">
                  <c:v>0.35416666666666657</c:v>
                </c:pt>
                <c:pt idx="2">
                  <c:v>0.37499999999999989</c:v>
                </c:pt>
                <c:pt idx="3">
                  <c:v>0.3958333333333332</c:v>
                </c:pt>
                <c:pt idx="4">
                  <c:v>0.41666666666666652</c:v>
                </c:pt>
                <c:pt idx="5">
                  <c:v>0.43749999999999983</c:v>
                </c:pt>
                <c:pt idx="6">
                  <c:v>0.45833333333333315</c:v>
                </c:pt>
                <c:pt idx="7">
                  <c:v>0.47916666666666646</c:v>
                </c:pt>
                <c:pt idx="8">
                  <c:v>0.49999999999999978</c:v>
                </c:pt>
                <c:pt idx="9">
                  <c:v>0.52083333333333315</c:v>
                </c:pt>
                <c:pt idx="10">
                  <c:v>0.54166666666666652</c:v>
                </c:pt>
                <c:pt idx="11">
                  <c:v>0.56249999999999989</c:v>
                </c:pt>
                <c:pt idx="12">
                  <c:v>0.58333333333333326</c:v>
                </c:pt>
                <c:pt idx="13">
                  <c:v>0.60416666666666663</c:v>
                </c:pt>
                <c:pt idx="14">
                  <c:v>0.625</c:v>
                </c:pt>
                <c:pt idx="15">
                  <c:v>0.64583333333333337</c:v>
                </c:pt>
                <c:pt idx="16">
                  <c:v>0.66666666666666674</c:v>
                </c:pt>
                <c:pt idx="17">
                  <c:v>0.68750000000000011</c:v>
                </c:pt>
                <c:pt idx="18">
                  <c:v>0.70833333333333348</c:v>
                </c:pt>
                <c:pt idx="19">
                  <c:v>0.72916666666666685</c:v>
                </c:pt>
                <c:pt idx="20">
                  <c:v>0.75000000000000022</c:v>
                </c:pt>
                <c:pt idx="21">
                  <c:v>0.77083333333333359</c:v>
                </c:pt>
                <c:pt idx="22">
                  <c:v>0.79166666666666696</c:v>
                </c:pt>
                <c:pt idx="23">
                  <c:v>0.81250000000000033</c:v>
                </c:pt>
                <c:pt idx="24">
                  <c:v>0.8333333333333337</c:v>
                </c:pt>
                <c:pt idx="25">
                  <c:v>0.85416666666666707</c:v>
                </c:pt>
                <c:pt idx="26">
                  <c:v>0.87500000000000044</c:v>
                </c:pt>
                <c:pt idx="27">
                  <c:v>0.89583333333333381</c:v>
                </c:pt>
                <c:pt idx="28">
                  <c:v>0.91666666666666718</c:v>
                </c:pt>
                <c:pt idx="29">
                  <c:v>0.93750000000000056</c:v>
                </c:pt>
              </c:numCache>
            </c:numRef>
          </c:cat>
          <c:val>
            <c:numRef>
              <c:f>'Daily task'!$AG$68:$BJ$68</c:f>
              <c:numCache>
                <c:formatCode>#,##0.0</c:formatCode>
                <c:ptCount val="30"/>
                <c:pt idx="0">
                  <c:v>2</c:v>
                </c:pt>
                <c:pt idx="1">
                  <c:v>2</c:v>
                </c:pt>
                <c:pt idx="2">
                  <c:v>4</c:v>
                </c:pt>
                <c:pt idx="3">
                  <c:v>4</c:v>
                </c:pt>
                <c:pt idx="4">
                  <c:v>4</c:v>
                </c:pt>
                <c:pt idx="5">
                  <c:v>4</c:v>
                </c:pt>
                <c:pt idx="6">
                  <c:v>6</c:v>
                </c:pt>
                <c:pt idx="7">
                  <c:v>6</c:v>
                </c:pt>
                <c:pt idx="8">
                  <c:v>6</c:v>
                </c:pt>
                <c:pt idx="9">
                  <c:v>6</c:v>
                </c:pt>
                <c:pt idx="10">
                  <c:v>5</c:v>
                </c:pt>
                <c:pt idx="11">
                  <c:v>4</c:v>
                </c:pt>
                <c:pt idx="12">
                  <c:v>2.8333333333333335</c:v>
                </c:pt>
                <c:pt idx="13">
                  <c:v>3</c:v>
                </c:pt>
                <c:pt idx="14">
                  <c:v>4</c:v>
                </c:pt>
                <c:pt idx="15">
                  <c:v>4</c:v>
                </c:pt>
                <c:pt idx="16">
                  <c:v>4</c:v>
                </c:pt>
                <c:pt idx="17">
                  <c:v>4</c:v>
                </c:pt>
                <c:pt idx="18">
                  <c:v>6</c:v>
                </c:pt>
                <c:pt idx="19">
                  <c:v>6</c:v>
                </c:pt>
                <c:pt idx="20">
                  <c:v>7.833333333333333</c:v>
                </c:pt>
                <c:pt idx="21">
                  <c:v>7.833333333333333</c:v>
                </c:pt>
                <c:pt idx="22">
                  <c:v>7.833333333333333</c:v>
                </c:pt>
                <c:pt idx="23">
                  <c:v>7.833333333333333</c:v>
                </c:pt>
                <c:pt idx="24">
                  <c:v>6</c:v>
                </c:pt>
                <c:pt idx="25">
                  <c:v>6</c:v>
                </c:pt>
                <c:pt idx="26">
                  <c:v>3.8333333333333335</c:v>
                </c:pt>
                <c:pt idx="27">
                  <c:v>4</c:v>
                </c:pt>
                <c:pt idx="28">
                  <c:v>2</c:v>
                </c:pt>
                <c:pt idx="29">
                  <c:v>1.8333333333333333</c:v>
                </c:pt>
              </c:numCache>
            </c:numRef>
          </c:val>
          <c:smooth val="0"/>
        </c:ser>
        <c:dLbls>
          <c:showLegendKey val="0"/>
          <c:showVal val="0"/>
          <c:showCatName val="0"/>
          <c:showSerName val="0"/>
          <c:showPercent val="0"/>
          <c:showBubbleSize val="0"/>
        </c:dLbls>
        <c:smooth val="0"/>
        <c:axId val="396973560"/>
        <c:axId val="396969248"/>
      </c:lineChart>
      <c:catAx>
        <c:axId val="396973560"/>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69248"/>
        <c:crosses val="autoZero"/>
        <c:auto val="1"/>
        <c:lblAlgn val="ctr"/>
        <c:lblOffset val="100"/>
        <c:noMultiLvlLbl val="0"/>
      </c:catAx>
      <c:valAx>
        <c:axId val="3969692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97356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34</xdr:col>
      <xdr:colOff>76200</xdr:colOff>
      <xdr:row>69</xdr:row>
      <xdr:rowOff>152400</xdr:rowOff>
    </xdr:from>
    <xdr:to>
      <xdr:col>46</xdr:col>
      <xdr:colOff>142875</xdr:colOff>
      <xdr:row>87</xdr:row>
      <xdr:rowOff>19050</xdr:rowOff>
    </xdr:to>
    <xdr:graphicFrame macro="">
      <xdr:nvGraphicFramePr>
        <xdr:cNvPr id="6177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209550</xdr:colOff>
      <xdr:row>70</xdr:row>
      <xdr:rowOff>0</xdr:rowOff>
    </xdr:from>
    <xdr:to>
      <xdr:col>59</xdr:col>
      <xdr:colOff>85725</xdr:colOff>
      <xdr:row>87</xdr:row>
      <xdr:rowOff>28575</xdr:rowOff>
    </xdr:to>
    <xdr:graphicFrame macro="">
      <xdr:nvGraphicFramePr>
        <xdr:cNvPr id="61775"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tint="4.9989318521683403E-2"/>
  </sheetPr>
  <dimension ref="A1:X33"/>
  <sheetViews>
    <sheetView showGridLines="0" zoomScale="85" zoomScaleNormal="85" workbookViewId="0">
      <pane xSplit="2" ySplit="1" topLeftCell="C2" activePane="bottomRight" state="frozen"/>
      <selection pane="topRight" activeCell="C1" sqref="C1"/>
      <selection pane="bottomLeft" activeCell="A8" sqref="A8"/>
      <selection pane="bottomRight" activeCell="K19" sqref="K19"/>
    </sheetView>
  </sheetViews>
  <sheetFormatPr defaultRowHeight="15" customHeight="1"/>
  <cols>
    <col min="1" max="1" width="13.375" bestFit="1" customWidth="1"/>
    <col min="2" max="2" width="11.625" bestFit="1" customWidth="1"/>
    <col min="3" max="3" width="14" customWidth="1"/>
    <col min="4" max="4" width="13.5" bestFit="1" customWidth="1"/>
    <col min="5" max="5" width="11.75" bestFit="1" customWidth="1"/>
    <col min="6" max="7" width="13.5" bestFit="1" customWidth="1"/>
    <col min="8" max="8" width="11.75" bestFit="1" customWidth="1"/>
    <col min="9" max="9" width="16.75" bestFit="1" customWidth="1"/>
    <col min="10" max="10" width="13.5" bestFit="1" customWidth="1"/>
    <col min="11" max="19" width="11.75" bestFit="1" customWidth="1"/>
    <col min="21" max="21" width="11.375" customWidth="1"/>
    <col min="24" max="24" width="12" customWidth="1"/>
  </cols>
  <sheetData>
    <row r="1" spans="1:24" ht="15" customHeight="1">
      <c r="C1" s="377"/>
      <c r="D1" s="377"/>
      <c r="E1" s="377"/>
      <c r="F1" s="377"/>
      <c r="G1" s="377"/>
      <c r="H1" s="377"/>
      <c r="I1" s="377"/>
      <c r="J1" s="377"/>
      <c r="K1" s="377"/>
      <c r="L1" s="377"/>
      <c r="M1" s="377"/>
      <c r="N1" s="377"/>
      <c r="O1" s="377"/>
    </row>
    <row r="2" spans="1:24" ht="15" customHeight="1" thickBot="1">
      <c r="C2" s="378"/>
      <c r="D2" s="378"/>
      <c r="E2" s="378"/>
      <c r="F2" s="378"/>
      <c r="G2" s="378"/>
      <c r="H2" s="378"/>
      <c r="I2" s="378"/>
      <c r="J2" s="378"/>
      <c r="K2" s="378"/>
      <c r="L2" s="378"/>
      <c r="M2" s="378"/>
      <c r="N2" s="378"/>
      <c r="O2" s="378"/>
    </row>
    <row r="3" spans="1:24" ht="15" customHeight="1" thickBot="1">
      <c r="A3" s="398" t="s">
        <v>23</v>
      </c>
      <c r="B3" s="399"/>
      <c r="C3" s="3" t="s">
        <v>20</v>
      </c>
      <c r="D3" s="385" t="s">
        <v>1</v>
      </c>
      <c r="E3" s="386"/>
      <c r="F3" s="386"/>
      <c r="G3" s="385" t="s">
        <v>2</v>
      </c>
      <c r="H3" s="386"/>
      <c r="I3" s="387"/>
      <c r="J3" s="385" t="s">
        <v>3</v>
      </c>
      <c r="K3" s="386"/>
      <c r="L3" s="387"/>
      <c r="M3" s="385" t="s">
        <v>4</v>
      </c>
      <c r="N3" s="386"/>
      <c r="O3" s="387"/>
      <c r="P3" s="385" t="s">
        <v>5</v>
      </c>
      <c r="Q3" s="386"/>
      <c r="R3" s="387"/>
      <c r="S3" s="385" t="s">
        <v>6</v>
      </c>
      <c r="T3" s="386"/>
      <c r="U3" s="386"/>
      <c r="V3" s="385" t="s">
        <v>7</v>
      </c>
      <c r="W3" s="386"/>
      <c r="X3" s="387"/>
    </row>
    <row r="4" spans="1:24" ht="15" customHeight="1" thickBot="1">
      <c r="A4" s="400"/>
      <c r="B4" s="401"/>
      <c r="C4" s="4" t="s">
        <v>24</v>
      </c>
      <c r="D4" s="5" t="s">
        <v>25</v>
      </c>
      <c r="E4" s="6" t="s">
        <v>26</v>
      </c>
      <c r="F4" s="8" t="s">
        <v>27</v>
      </c>
      <c r="G4" s="5" t="s">
        <v>25</v>
      </c>
      <c r="H4" s="6" t="s">
        <v>26</v>
      </c>
      <c r="I4" s="8" t="s">
        <v>27</v>
      </c>
      <c r="J4" s="5" t="s">
        <v>25</v>
      </c>
      <c r="K4" s="6" t="s">
        <v>26</v>
      </c>
      <c r="L4" s="8" t="s">
        <v>27</v>
      </c>
      <c r="M4" s="5" t="s">
        <v>25</v>
      </c>
      <c r="N4" s="6" t="s">
        <v>26</v>
      </c>
      <c r="O4" s="8" t="s">
        <v>27</v>
      </c>
      <c r="P4" s="5" t="s">
        <v>25</v>
      </c>
      <c r="Q4" s="6" t="s">
        <v>26</v>
      </c>
      <c r="R4" s="8" t="s">
        <v>27</v>
      </c>
      <c r="S4" s="5" t="s">
        <v>25</v>
      </c>
      <c r="T4" s="6" t="s">
        <v>26</v>
      </c>
      <c r="U4" s="8" t="s">
        <v>27</v>
      </c>
      <c r="V4" s="5" t="s">
        <v>25</v>
      </c>
      <c r="W4" s="6" t="s">
        <v>26</v>
      </c>
      <c r="X4" s="7" t="s">
        <v>27</v>
      </c>
    </row>
    <row r="5" spans="1:24" ht="15" customHeight="1">
      <c r="A5" s="402" t="s">
        <v>17</v>
      </c>
      <c r="B5" s="404" t="s">
        <v>28</v>
      </c>
      <c r="C5" s="9" t="s">
        <v>29</v>
      </c>
      <c r="D5" s="10">
        <v>8</v>
      </c>
      <c r="E5" s="11">
        <f>8</f>
        <v>8</v>
      </c>
      <c r="F5" s="12">
        <f>E5*G18</f>
        <v>307692.30769230769</v>
      </c>
      <c r="G5" s="10">
        <v>8</v>
      </c>
      <c r="H5" s="11">
        <f>8</f>
        <v>8</v>
      </c>
      <c r="I5" s="12">
        <f>H5*G18</f>
        <v>307692.30769230769</v>
      </c>
      <c r="J5" s="10">
        <v>8</v>
      </c>
      <c r="K5" s="11">
        <f>8</f>
        <v>8</v>
      </c>
      <c r="L5" s="12">
        <f>K5*G18</f>
        <v>307692.30769230769</v>
      </c>
      <c r="M5" s="10">
        <v>8</v>
      </c>
      <c r="N5" s="11">
        <f>8</f>
        <v>8</v>
      </c>
      <c r="O5" s="12">
        <f>N5*G18</f>
        <v>307692.30769230769</v>
      </c>
      <c r="P5" s="10">
        <v>16</v>
      </c>
      <c r="Q5" s="11">
        <f>P5</f>
        <v>16</v>
      </c>
      <c r="R5" s="12">
        <f>Q5*G18</f>
        <v>615384.61538461538</v>
      </c>
      <c r="S5" s="10">
        <v>16</v>
      </c>
      <c r="T5" s="11">
        <f>S5</f>
        <v>16</v>
      </c>
      <c r="U5" s="13">
        <f>T5*G18</f>
        <v>615384.61538461538</v>
      </c>
      <c r="V5" s="10">
        <v>16</v>
      </c>
      <c r="W5" s="11">
        <f>V5</f>
        <v>16</v>
      </c>
      <c r="X5" s="14">
        <f>W5*G18</f>
        <v>615384.61538461538</v>
      </c>
    </row>
    <row r="6" spans="1:24" ht="15" customHeight="1">
      <c r="A6" s="403"/>
      <c r="B6" s="405"/>
      <c r="C6" s="16" t="s">
        <v>11</v>
      </c>
      <c r="D6" s="17">
        <v>15</v>
      </c>
      <c r="E6" s="388">
        <f>D6+D7</f>
        <v>35</v>
      </c>
      <c r="F6" s="383">
        <f>E6*G22</f>
        <v>735000</v>
      </c>
      <c r="G6" s="17">
        <v>15</v>
      </c>
      <c r="H6" s="388">
        <f>G6+G7</f>
        <v>35</v>
      </c>
      <c r="I6" s="383">
        <f>H6*G22</f>
        <v>735000</v>
      </c>
      <c r="J6" s="17">
        <v>15</v>
      </c>
      <c r="K6" s="388">
        <f>J6+J7</f>
        <v>35</v>
      </c>
      <c r="L6" s="383">
        <f>K6*G22</f>
        <v>735000</v>
      </c>
      <c r="M6" s="17">
        <v>15</v>
      </c>
      <c r="N6" s="388">
        <f>M6+M7</f>
        <v>35</v>
      </c>
      <c r="O6" s="383">
        <f>N6*G22</f>
        <v>735000</v>
      </c>
      <c r="P6" s="17">
        <v>16</v>
      </c>
      <c r="Q6" s="388">
        <f>P6+P7</f>
        <v>36</v>
      </c>
      <c r="R6" s="383">
        <f>Q6*G22</f>
        <v>756000</v>
      </c>
      <c r="S6" s="17">
        <v>35</v>
      </c>
      <c r="T6" s="388">
        <f>S6+S7</f>
        <v>70</v>
      </c>
      <c r="U6" s="407">
        <f>T6*G22</f>
        <v>1470000</v>
      </c>
      <c r="V6" s="17">
        <v>35</v>
      </c>
      <c r="W6" s="388">
        <f>V6+V7</f>
        <v>70</v>
      </c>
      <c r="X6" s="392">
        <f>W6*G22</f>
        <v>1470000</v>
      </c>
    </row>
    <row r="7" spans="1:24" ht="15" customHeight="1" thickBot="1">
      <c r="A7" s="403"/>
      <c r="B7" s="406"/>
      <c r="C7" s="18" t="s">
        <v>8</v>
      </c>
      <c r="D7" s="19">
        <v>20</v>
      </c>
      <c r="E7" s="389"/>
      <c r="F7" s="384"/>
      <c r="G7" s="19">
        <v>20</v>
      </c>
      <c r="H7" s="389"/>
      <c r="I7" s="384"/>
      <c r="J7" s="19">
        <v>20</v>
      </c>
      <c r="K7" s="389"/>
      <c r="L7" s="384"/>
      <c r="M7" s="19">
        <v>20</v>
      </c>
      <c r="N7" s="389"/>
      <c r="O7" s="384"/>
      <c r="P7" s="19">
        <v>20</v>
      </c>
      <c r="Q7" s="389"/>
      <c r="R7" s="384"/>
      <c r="S7" s="19">
        <v>35</v>
      </c>
      <c r="T7" s="389"/>
      <c r="U7" s="408"/>
      <c r="V7" s="19">
        <v>35</v>
      </c>
      <c r="W7" s="389"/>
      <c r="X7" s="393"/>
    </row>
    <row r="8" spans="1:24" ht="15" customHeight="1" thickBot="1">
      <c r="A8" s="403"/>
      <c r="B8" s="15"/>
      <c r="C8" s="20"/>
      <c r="D8" s="21"/>
      <c r="E8" s="21"/>
      <c r="F8" s="21"/>
      <c r="G8" s="21"/>
      <c r="H8" s="21"/>
      <c r="I8" s="22"/>
      <c r="J8" s="21"/>
      <c r="K8" s="21"/>
      <c r="L8" s="22"/>
      <c r="M8" s="21"/>
      <c r="N8" s="21"/>
      <c r="O8" s="22"/>
      <c r="P8" s="21"/>
      <c r="Q8" s="21"/>
      <c r="R8" s="22"/>
      <c r="S8" s="21"/>
      <c r="T8" s="21"/>
      <c r="U8" s="22"/>
      <c r="V8" s="20"/>
      <c r="W8" s="21"/>
      <c r="X8" s="23"/>
    </row>
    <row r="9" spans="1:24" ht="15" customHeight="1" thickBot="1">
      <c r="A9" s="403"/>
      <c r="B9" s="404" t="s">
        <v>30</v>
      </c>
      <c r="C9" s="24" t="s">
        <v>29</v>
      </c>
      <c r="D9" s="25">
        <v>16</v>
      </c>
      <c r="E9" s="26">
        <f>D9</f>
        <v>16</v>
      </c>
      <c r="F9" s="27">
        <f>E9*G18</f>
        <v>615384.61538461538</v>
      </c>
      <c r="G9" s="25">
        <v>16</v>
      </c>
      <c r="H9" s="26">
        <f>G9</f>
        <v>16</v>
      </c>
      <c r="I9" s="27">
        <f>H9*G18</f>
        <v>615384.61538461538</v>
      </c>
      <c r="J9" s="25">
        <v>16</v>
      </c>
      <c r="K9" s="26">
        <f>J9</f>
        <v>16</v>
      </c>
      <c r="L9" s="27">
        <f>K9*G18</f>
        <v>615384.61538461538</v>
      </c>
      <c r="M9" s="25">
        <v>16</v>
      </c>
      <c r="N9" s="26">
        <f>M9</f>
        <v>16</v>
      </c>
      <c r="O9" s="27">
        <f>N9*G18</f>
        <v>615384.61538461538</v>
      </c>
      <c r="P9" s="25">
        <v>16</v>
      </c>
      <c r="Q9" s="26">
        <f>P9</f>
        <v>16</v>
      </c>
      <c r="R9" s="27">
        <f>Q9*G18</f>
        <v>615384.61538461538</v>
      </c>
      <c r="S9" s="25">
        <v>16</v>
      </c>
      <c r="T9" s="26">
        <f>S9</f>
        <v>16</v>
      </c>
      <c r="U9" s="27">
        <f>T9*G18</f>
        <v>615384.61538461538</v>
      </c>
      <c r="V9" s="25">
        <v>16</v>
      </c>
      <c r="W9" s="26">
        <f>V9</f>
        <v>16</v>
      </c>
      <c r="X9" s="28">
        <f>W9*G18</f>
        <v>615384.61538461538</v>
      </c>
    </row>
    <row r="10" spans="1:24" ht="15" customHeight="1">
      <c r="A10" s="403"/>
      <c r="B10" s="405"/>
      <c r="C10" s="24" t="s">
        <v>11</v>
      </c>
      <c r="D10" s="29">
        <v>16</v>
      </c>
      <c r="E10" s="381">
        <f>D10+D11</f>
        <v>36</v>
      </c>
      <c r="F10" s="379">
        <f>E10*G22</f>
        <v>756000</v>
      </c>
      <c r="G10" s="29">
        <v>16</v>
      </c>
      <c r="H10" s="381">
        <f>G10+G11</f>
        <v>36</v>
      </c>
      <c r="I10" s="379">
        <f>H10*G22</f>
        <v>756000</v>
      </c>
      <c r="J10" s="29">
        <v>16</v>
      </c>
      <c r="K10" s="381">
        <f>J10+J11</f>
        <v>36</v>
      </c>
      <c r="L10" s="379">
        <f>K10*G22</f>
        <v>756000</v>
      </c>
      <c r="M10" s="29">
        <v>20</v>
      </c>
      <c r="N10" s="381">
        <f>M10+M11</f>
        <v>40</v>
      </c>
      <c r="O10" s="379">
        <f>N10*G22</f>
        <v>840000</v>
      </c>
      <c r="P10" s="29">
        <v>20</v>
      </c>
      <c r="Q10" s="381">
        <f>P10+P11</f>
        <v>45</v>
      </c>
      <c r="R10" s="379">
        <f>Q10*G22</f>
        <v>945000</v>
      </c>
      <c r="S10" s="29">
        <v>35</v>
      </c>
      <c r="T10" s="381">
        <f>S10+S11</f>
        <v>70</v>
      </c>
      <c r="U10" s="394">
        <f>T10*G22</f>
        <v>1470000</v>
      </c>
      <c r="V10" s="29">
        <v>35</v>
      </c>
      <c r="W10" s="381">
        <f>V10+V11</f>
        <v>70</v>
      </c>
      <c r="X10" s="390">
        <f>W10*G22</f>
        <v>1470000</v>
      </c>
    </row>
    <row r="11" spans="1:24" ht="15" customHeight="1" thickBot="1">
      <c r="A11" s="403"/>
      <c r="B11" s="405"/>
      <c r="C11" s="30" t="s">
        <v>8</v>
      </c>
      <c r="D11" s="31">
        <v>20</v>
      </c>
      <c r="E11" s="382"/>
      <c r="F11" s="380"/>
      <c r="G11" s="31">
        <v>20</v>
      </c>
      <c r="H11" s="382"/>
      <c r="I11" s="380"/>
      <c r="J11" s="31">
        <v>20</v>
      </c>
      <c r="K11" s="382"/>
      <c r="L11" s="380"/>
      <c r="M11" s="31">
        <v>20</v>
      </c>
      <c r="N11" s="382"/>
      <c r="O11" s="380"/>
      <c r="P11" s="31">
        <v>25</v>
      </c>
      <c r="Q11" s="382"/>
      <c r="R11" s="380"/>
      <c r="S11" s="31">
        <v>35</v>
      </c>
      <c r="T11" s="382"/>
      <c r="U11" s="395"/>
      <c r="V11" s="31">
        <v>35</v>
      </c>
      <c r="W11" s="382"/>
      <c r="X11" s="391"/>
    </row>
    <row r="12" spans="1:24" ht="15" customHeight="1" thickBot="1">
      <c r="A12" s="32"/>
      <c r="B12" s="396" t="s">
        <v>31</v>
      </c>
      <c r="C12" s="397"/>
      <c r="D12" s="33"/>
      <c r="E12" s="34">
        <f>E5+E6+E9+E10</f>
        <v>95</v>
      </c>
      <c r="F12" s="35">
        <f>F5+F6+F9+F10</f>
        <v>2414076.923076923</v>
      </c>
      <c r="G12" s="36"/>
      <c r="H12" s="37">
        <f>H5+H6+H9+H10</f>
        <v>95</v>
      </c>
      <c r="I12" s="35">
        <f>I5+I6+I9+I10</f>
        <v>2414076.923076923</v>
      </c>
      <c r="J12" s="36"/>
      <c r="K12" s="37">
        <f>K5+K6+K9+K10</f>
        <v>95</v>
      </c>
      <c r="L12" s="35">
        <f>L5+L6+L9+L10</f>
        <v>2414076.923076923</v>
      </c>
      <c r="M12" s="36"/>
      <c r="N12" s="37">
        <f>N5+N6+N9+N10</f>
        <v>99</v>
      </c>
      <c r="O12" s="35">
        <f>O5+O6+O9+O10</f>
        <v>2498076.923076923</v>
      </c>
      <c r="P12" s="36"/>
      <c r="Q12" s="37">
        <f>Q5+Q6+Q9+Q10</f>
        <v>113</v>
      </c>
      <c r="R12" s="35">
        <f>R5+R6+R9+R10</f>
        <v>2931769.230769231</v>
      </c>
      <c r="S12" s="36"/>
      <c r="T12" s="37">
        <f>T5+T6+T9+T10</f>
        <v>172</v>
      </c>
      <c r="U12" s="38">
        <f>U5+U6+U9+U10</f>
        <v>4170769.230769231</v>
      </c>
      <c r="V12" s="39"/>
      <c r="W12" s="37">
        <f>W5+W6+W9+W10</f>
        <v>172</v>
      </c>
      <c r="X12" s="40">
        <f>X5+X6+X9+X10</f>
        <v>4170769.230769231</v>
      </c>
    </row>
    <row r="13" spans="1:24" ht="15" customHeight="1">
      <c r="A13" s="41"/>
      <c r="B13" s="41"/>
      <c r="C13" s="41"/>
      <c r="D13" s="42"/>
      <c r="E13" s="43"/>
      <c r="F13" s="42"/>
      <c r="G13" s="44"/>
      <c r="H13" s="41"/>
      <c r="I13" s="45"/>
      <c r="J13" s="41"/>
      <c r="K13" s="41"/>
      <c r="L13" s="41"/>
      <c r="M13" s="41"/>
      <c r="N13" s="41"/>
      <c r="O13" s="41"/>
      <c r="P13" s="41"/>
      <c r="Q13" s="41"/>
      <c r="R13" s="41"/>
      <c r="S13" s="41"/>
      <c r="T13" s="41"/>
      <c r="U13" s="41"/>
      <c r="V13" s="41"/>
      <c r="W13" s="41"/>
      <c r="X13" s="41"/>
    </row>
    <row r="14" spans="1:24" ht="15" customHeight="1">
      <c r="A14" s="1"/>
      <c r="B14" s="1"/>
      <c r="C14" s="46" t="s">
        <v>12</v>
      </c>
      <c r="D14" s="47"/>
      <c r="E14" s="48" t="s">
        <v>32</v>
      </c>
      <c r="F14" s="48" t="s">
        <v>33</v>
      </c>
      <c r="G14" s="49" t="s">
        <v>34</v>
      </c>
      <c r="H14" s="1"/>
      <c r="I14" s="2"/>
      <c r="J14" s="1"/>
      <c r="K14" s="1"/>
      <c r="L14" s="1"/>
      <c r="M14" s="1"/>
      <c r="N14" s="1"/>
      <c r="O14" s="1"/>
      <c r="P14" s="1"/>
      <c r="Q14" s="1"/>
      <c r="R14" s="1"/>
      <c r="S14" s="1"/>
      <c r="T14" s="1"/>
      <c r="U14" s="1"/>
      <c r="V14" s="1"/>
      <c r="W14" s="1"/>
      <c r="X14" s="1"/>
    </row>
    <row r="15" spans="1:24" ht="15" customHeight="1">
      <c r="A15" s="1"/>
      <c r="B15" s="1" t="s">
        <v>10</v>
      </c>
      <c r="C15" s="2">
        <v>12000000</v>
      </c>
      <c r="D15" s="47"/>
      <c r="E15" s="47"/>
      <c r="F15" s="47"/>
      <c r="G15" s="47"/>
      <c r="H15" s="1"/>
      <c r="I15" s="2"/>
      <c r="J15" s="1"/>
      <c r="K15" s="1"/>
      <c r="L15" s="1"/>
      <c r="M15" s="1"/>
      <c r="N15" s="1"/>
      <c r="O15" s="1"/>
      <c r="P15" s="1"/>
      <c r="Q15" s="1"/>
      <c r="R15" s="1"/>
      <c r="S15" s="1"/>
      <c r="T15" s="1"/>
      <c r="U15" s="1"/>
      <c r="V15" s="1"/>
      <c r="W15" s="1"/>
      <c r="X15" s="1"/>
    </row>
    <row r="16" spans="1:24" ht="15" customHeight="1">
      <c r="A16" s="1"/>
      <c r="B16" s="1" t="s">
        <v>9</v>
      </c>
      <c r="C16" s="2">
        <v>8000000</v>
      </c>
      <c r="D16" s="47"/>
      <c r="E16" s="47"/>
      <c r="F16" s="47"/>
      <c r="G16" s="47"/>
      <c r="H16" s="1"/>
      <c r="I16" s="2"/>
      <c r="J16" s="1"/>
      <c r="K16" s="1"/>
      <c r="L16" s="1"/>
      <c r="M16" s="1"/>
      <c r="N16" s="1"/>
      <c r="O16" s="1"/>
      <c r="P16" s="1"/>
      <c r="Q16" s="1"/>
      <c r="R16" s="1"/>
      <c r="S16" s="1"/>
      <c r="T16" s="1"/>
      <c r="U16" s="1"/>
      <c r="V16" s="1"/>
      <c r="W16" s="1"/>
      <c r="X16" s="1"/>
    </row>
    <row r="17" spans="1:24" ht="15" customHeight="1">
      <c r="A17" s="1"/>
      <c r="B17" s="1" t="s">
        <v>13</v>
      </c>
      <c r="C17" s="2">
        <v>6000000</v>
      </c>
      <c r="D17" s="47"/>
      <c r="E17" s="47"/>
      <c r="F17" s="47"/>
      <c r="G17" s="47"/>
      <c r="H17" s="1"/>
      <c r="I17" s="2"/>
      <c r="J17" s="1"/>
      <c r="K17" s="1"/>
      <c r="L17" s="1"/>
      <c r="M17" s="1"/>
      <c r="N17" s="1"/>
      <c r="O17" s="1"/>
      <c r="P17" s="1"/>
      <c r="Q17" s="1"/>
      <c r="R17" s="1"/>
      <c r="S17" s="1"/>
      <c r="T17" s="1"/>
      <c r="U17" s="1"/>
      <c r="V17" s="1"/>
      <c r="W17" s="1"/>
      <c r="X17" s="1"/>
    </row>
    <row r="18" spans="1:24" ht="15" customHeight="1">
      <c r="A18" s="1"/>
      <c r="B18" s="1" t="s">
        <v>13</v>
      </c>
      <c r="C18" s="2">
        <v>6000000</v>
      </c>
      <c r="D18" s="47"/>
      <c r="E18" s="2">
        <f>AVERAGE(C15:C18)</f>
        <v>8000000</v>
      </c>
      <c r="F18" s="47">
        <f>E18/26</f>
        <v>307692.30769230769</v>
      </c>
      <c r="G18" s="2">
        <f>F18/8</f>
        <v>38461.538461538461</v>
      </c>
      <c r="H18" s="1"/>
      <c r="I18" s="2"/>
      <c r="J18" s="1"/>
      <c r="K18" s="1"/>
      <c r="L18" s="1"/>
      <c r="M18" s="1"/>
      <c r="N18" s="1"/>
      <c r="O18" s="1"/>
      <c r="P18" s="1"/>
      <c r="Q18" s="1"/>
      <c r="R18" s="1"/>
      <c r="S18" s="1"/>
      <c r="T18" s="1"/>
      <c r="U18" s="1"/>
      <c r="V18" s="1"/>
      <c r="W18" s="1"/>
      <c r="X18" s="1"/>
    </row>
    <row r="19" spans="1:24" ht="15" customHeight="1">
      <c r="A19" s="1"/>
      <c r="B19" s="1"/>
      <c r="C19" s="1"/>
      <c r="D19" s="47"/>
      <c r="E19" s="47"/>
      <c r="F19" s="47"/>
      <c r="G19" s="47"/>
      <c r="H19" s="1"/>
      <c r="I19" s="2"/>
      <c r="J19" s="1"/>
      <c r="K19" s="1"/>
      <c r="L19" s="1"/>
      <c r="M19" s="1"/>
      <c r="N19" s="1"/>
      <c r="O19" s="1"/>
      <c r="P19" s="1"/>
      <c r="Q19" s="1"/>
      <c r="R19" s="1"/>
      <c r="S19" s="1"/>
      <c r="T19" s="1"/>
      <c r="U19" s="1"/>
      <c r="V19" s="1"/>
      <c r="W19" s="1"/>
      <c r="X19" s="1"/>
    </row>
    <row r="20" spans="1:24" ht="15" customHeight="1">
      <c r="A20" s="1"/>
      <c r="B20" s="1" t="s">
        <v>18</v>
      </c>
      <c r="C20" s="2">
        <v>22000</v>
      </c>
      <c r="D20" s="47"/>
      <c r="E20" s="47"/>
      <c r="F20" s="47"/>
      <c r="G20" s="47"/>
      <c r="H20" s="1"/>
      <c r="I20" s="2"/>
      <c r="J20" s="1"/>
      <c r="K20" s="1"/>
      <c r="L20" s="1"/>
      <c r="M20" s="1"/>
      <c r="N20" s="1"/>
      <c r="O20" s="1"/>
      <c r="P20" s="1"/>
      <c r="Q20" s="1"/>
      <c r="R20" s="1"/>
      <c r="S20" s="1"/>
      <c r="T20" s="1"/>
      <c r="U20" s="1"/>
      <c r="V20" s="1"/>
      <c r="W20" s="1"/>
      <c r="X20" s="1"/>
    </row>
    <row r="21" spans="1:24" ht="15" customHeight="1">
      <c r="A21" s="1"/>
      <c r="B21" s="1" t="s">
        <v>15</v>
      </c>
      <c r="C21" s="2">
        <v>21000</v>
      </c>
      <c r="D21" s="47"/>
      <c r="E21" s="47"/>
      <c r="F21" s="47"/>
      <c r="G21" s="47"/>
      <c r="H21" s="1"/>
      <c r="I21" s="2"/>
      <c r="J21" s="1"/>
      <c r="K21" s="1"/>
      <c r="L21" s="1"/>
      <c r="M21" s="1"/>
      <c r="N21" s="1"/>
      <c r="O21" s="1"/>
      <c r="P21" s="1"/>
      <c r="Q21" s="1"/>
      <c r="R21" s="1"/>
      <c r="S21" s="1"/>
      <c r="T21" s="1"/>
      <c r="U21" s="1"/>
      <c r="V21" s="1"/>
      <c r="W21" s="1"/>
      <c r="X21" s="1"/>
    </row>
    <row r="22" spans="1:24" ht="15" customHeight="1">
      <c r="A22" s="1"/>
      <c r="B22" s="1" t="s">
        <v>16</v>
      </c>
      <c r="C22" s="2">
        <v>20000</v>
      </c>
      <c r="D22" s="47"/>
      <c r="E22" s="2"/>
      <c r="F22" s="47"/>
      <c r="G22" s="2">
        <f>AVERAGE(C20:C22)</f>
        <v>21000</v>
      </c>
      <c r="H22" s="1"/>
      <c r="I22" s="2"/>
      <c r="J22" s="1"/>
      <c r="K22" s="1"/>
      <c r="L22" s="1"/>
      <c r="M22" s="1"/>
      <c r="N22" s="1"/>
      <c r="O22" s="1"/>
      <c r="P22" s="1"/>
      <c r="Q22" s="1"/>
      <c r="R22" s="1"/>
      <c r="S22" s="1"/>
      <c r="T22" s="1"/>
      <c r="U22" s="1"/>
      <c r="V22" s="1"/>
      <c r="W22" s="1"/>
      <c r="X22" s="1"/>
    </row>
    <row r="23" spans="1:24" ht="15" customHeight="1">
      <c r="A23" s="1"/>
      <c r="B23" s="1"/>
      <c r="C23" s="1"/>
      <c r="D23" s="47"/>
      <c r="E23" s="47"/>
      <c r="F23" s="47"/>
      <c r="G23" s="50"/>
      <c r="H23" s="1"/>
      <c r="I23" s="2"/>
      <c r="J23" s="1"/>
      <c r="K23" s="1"/>
      <c r="L23" s="1"/>
      <c r="M23" s="1"/>
      <c r="N23" s="1"/>
      <c r="O23" s="1"/>
      <c r="P23" s="1"/>
      <c r="Q23" s="1"/>
      <c r="R23" s="1"/>
      <c r="S23" s="1"/>
      <c r="T23" s="1"/>
      <c r="U23" s="1"/>
      <c r="V23" s="1"/>
      <c r="W23" s="1"/>
      <c r="X23" s="1"/>
    </row>
    <row r="24" spans="1:24" ht="15" customHeight="1">
      <c r="A24" s="1" t="s">
        <v>35</v>
      </c>
      <c r="B24" s="1"/>
      <c r="C24" s="51">
        <f>SUM(C26:C32)</f>
        <v>179000000</v>
      </c>
      <c r="D24" s="47"/>
      <c r="E24" s="47"/>
      <c r="F24" s="47"/>
      <c r="G24" s="50"/>
      <c r="H24" s="1"/>
      <c r="I24" s="2"/>
      <c r="J24" s="1"/>
      <c r="K24" s="1"/>
      <c r="L24" s="1"/>
      <c r="M24" s="1"/>
      <c r="N24" s="1"/>
      <c r="O24" s="1"/>
      <c r="P24" s="1"/>
      <c r="Q24" s="1"/>
      <c r="R24" s="1"/>
      <c r="S24" s="1"/>
      <c r="T24" s="1"/>
      <c r="U24" s="1"/>
      <c r="V24" s="1"/>
      <c r="W24" s="1"/>
      <c r="X24" s="1"/>
    </row>
    <row r="25" spans="1:24" ht="15" customHeight="1">
      <c r="A25" s="1"/>
      <c r="B25" s="1"/>
      <c r="C25" s="1"/>
      <c r="D25" s="47"/>
      <c r="E25" s="47"/>
      <c r="F25" s="47"/>
      <c r="G25" s="50"/>
      <c r="H25" s="1"/>
      <c r="I25" s="2"/>
      <c r="J25" s="1"/>
      <c r="K25" s="1"/>
      <c r="L25" s="1"/>
      <c r="M25" s="1"/>
      <c r="N25" s="1"/>
      <c r="O25" s="1"/>
      <c r="P25" s="1"/>
      <c r="Q25" s="1"/>
      <c r="R25" s="1"/>
      <c r="S25" s="1"/>
      <c r="T25" s="1"/>
      <c r="U25" s="1"/>
      <c r="V25" s="1"/>
      <c r="W25" s="1"/>
      <c r="X25" s="1"/>
    </row>
    <row r="26" spans="1:24" ht="15" customHeight="1">
      <c r="A26" s="1"/>
      <c r="B26" s="1" t="s">
        <v>1</v>
      </c>
      <c r="C26" s="2">
        <v>15000000</v>
      </c>
      <c r="D26" s="47"/>
      <c r="E26" s="47"/>
      <c r="F26" s="47"/>
      <c r="G26" s="50"/>
      <c r="H26" s="1"/>
      <c r="I26" s="2"/>
      <c r="J26" s="1"/>
      <c r="K26" s="1"/>
      <c r="L26" s="1"/>
      <c r="M26" s="1"/>
      <c r="N26" s="1"/>
      <c r="O26" s="1"/>
      <c r="P26" s="1"/>
      <c r="Q26" s="1"/>
      <c r="R26" s="1"/>
      <c r="S26" s="1"/>
      <c r="T26" s="1"/>
      <c r="U26" s="1"/>
      <c r="V26" s="1"/>
      <c r="W26" s="1"/>
      <c r="X26" s="1"/>
    </row>
    <row r="27" spans="1:24" ht="15" customHeight="1">
      <c r="A27" s="1"/>
      <c r="B27" s="1" t="s">
        <v>2</v>
      </c>
      <c r="C27" s="2">
        <v>15000000</v>
      </c>
      <c r="D27" s="47"/>
      <c r="E27" s="47"/>
      <c r="F27" s="47"/>
      <c r="G27" s="50"/>
      <c r="H27" s="1"/>
      <c r="I27" s="2"/>
      <c r="J27" s="1"/>
      <c r="K27" s="1"/>
      <c r="L27" s="1"/>
      <c r="M27" s="1"/>
      <c r="N27" s="1"/>
      <c r="O27" s="1"/>
      <c r="P27" s="1"/>
      <c r="Q27" s="1"/>
      <c r="R27" s="1"/>
      <c r="S27" s="1"/>
      <c r="T27" s="1"/>
      <c r="U27" s="1"/>
      <c r="V27" s="1"/>
      <c r="W27" s="1"/>
      <c r="X27" s="1"/>
    </row>
    <row r="28" spans="1:24" ht="15" customHeight="1">
      <c r="A28" s="1"/>
      <c r="B28" s="1" t="s">
        <v>3</v>
      </c>
      <c r="C28" s="2">
        <v>17000000</v>
      </c>
      <c r="D28" s="47"/>
      <c r="E28" s="47"/>
      <c r="F28" s="47"/>
      <c r="G28" s="50"/>
      <c r="H28" s="1"/>
      <c r="I28" s="2"/>
      <c r="J28" s="1"/>
      <c r="K28" s="1"/>
      <c r="L28" s="1"/>
      <c r="M28" s="1"/>
      <c r="N28" s="1"/>
      <c r="O28" s="1"/>
      <c r="P28" s="1"/>
      <c r="Q28" s="1"/>
      <c r="R28" s="1"/>
      <c r="S28" s="1"/>
      <c r="T28" s="1"/>
      <c r="U28" s="1"/>
      <c r="V28" s="1"/>
      <c r="W28" s="1"/>
      <c r="X28" s="1"/>
    </row>
    <row r="29" spans="1:24" ht="15" customHeight="1">
      <c r="A29" s="1"/>
      <c r="B29" s="1" t="s">
        <v>4</v>
      </c>
      <c r="C29" s="2">
        <v>20000000</v>
      </c>
      <c r="D29" s="47"/>
      <c r="E29" s="47"/>
      <c r="F29" s="47"/>
      <c r="G29" s="50"/>
      <c r="H29" s="1"/>
      <c r="I29" s="2"/>
      <c r="J29" s="1"/>
      <c r="K29" s="1"/>
      <c r="L29" s="1"/>
      <c r="M29" s="1"/>
      <c r="N29" s="1"/>
      <c r="O29" s="1"/>
      <c r="P29" s="1"/>
      <c r="Q29" s="1"/>
      <c r="R29" s="1"/>
      <c r="S29" s="1"/>
      <c r="T29" s="1"/>
      <c r="U29" s="1"/>
      <c r="V29" s="1"/>
      <c r="W29" s="1"/>
      <c r="X29" s="1"/>
    </row>
    <row r="30" spans="1:24" ht="15" customHeight="1">
      <c r="A30" s="1"/>
      <c r="B30" s="1" t="s">
        <v>5</v>
      </c>
      <c r="C30" s="2">
        <v>22000000</v>
      </c>
      <c r="D30" s="47"/>
      <c r="E30" s="47"/>
      <c r="F30" s="47"/>
      <c r="G30" s="50"/>
      <c r="H30" s="1"/>
      <c r="I30" s="2"/>
      <c r="J30" s="1"/>
      <c r="K30" s="1"/>
      <c r="L30" s="1"/>
      <c r="M30" s="1"/>
      <c r="N30" s="1"/>
      <c r="O30" s="1"/>
      <c r="P30" s="1"/>
      <c r="Q30" s="1"/>
      <c r="R30" s="1"/>
      <c r="S30" s="1"/>
      <c r="T30" s="1"/>
      <c r="U30" s="1"/>
      <c r="V30" s="1"/>
      <c r="W30" s="1"/>
      <c r="X30" s="1"/>
    </row>
    <row r="31" spans="1:24" ht="15" customHeight="1">
      <c r="A31" s="1"/>
      <c r="B31" s="1" t="s">
        <v>6</v>
      </c>
      <c r="C31" s="2">
        <v>45000000</v>
      </c>
      <c r="D31" s="47"/>
      <c r="E31" s="47"/>
      <c r="F31" s="47"/>
      <c r="G31" s="50"/>
      <c r="H31" s="1"/>
      <c r="I31" s="2"/>
      <c r="J31" s="1"/>
      <c r="K31" s="1"/>
      <c r="L31" s="1"/>
      <c r="M31" s="1"/>
      <c r="N31" s="1"/>
      <c r="O31" s="1"/>
      <c r="P31" s="1"/>
      <c r="Q31" s="1"/>
      <c r="R31" s="1"/>
      <c r="S31" s="1"/>
      <c r="T31" s="1"/>
      <c r="U31" s="1"/>
      <c r="V31" s="1"/>
      <c r="W31" s="1"/>
      <c r="X31" s="1"/>
    </row>
    <row r="32" spans="1:24" ht="15" customHeight="1">
      <c r="A32" s="1"/>
      <c r="B32" s="1" t="s">
        <v>7</v>
      </c>
      <c r="C32" s="2">
        <v>45000000</v>
      </c>
      <c r="D32" s="47"/>
      <c r="E32" s="47"/>
      <c r="F32" s="47"/>
      <c r="G32" s="50"/>
      <c r="H32" s="1"/>
      <c r="I32" s="2"/>
      <c r="J32" s="1"/>
      <c r="K32" s="1"/>
      <c r="L32" s="1"/>
      <c r="M32" s="1"/>
      <c r="N32" s="1"/>
      <c r="O32" s="1"/>
      <c r="P32" s="1"/>
      <c r="Q32" s="1"/>
      <c r="R32" s="1"/>
      <c r="S32" s="1"/>
      <c r="T32" s="1"/>
      <c r="U32" s="1"/>
      <c r="V32" s="1"/>
      <c r="W32" s="1"/>
      <c r="X32" s="1"/>
    </row>
    <row r="33" spans="1:24" ht="15" customHeight="1">
      <c r="A33" s="1"/>
      <c r="B33" s="1"/>
      <c r="C33" s="1"/>
      <c r="D33" s="47"/>
      <c r="E33" s="47"/>
      <c r="F33" s="47"/>
      <c r="G33" s="50"/>
      <c r="H33" s="1"/>
      <c r="I33" s="2"/>
      <c r="J33" s="1"/>
      <c r="K33" s="1"/>
      <c r="L33" s="1"/>
      <c r="M33" s="1"/>
      <c r="N33" s="1"/>
      <c r="O33" s="1"/>
      <c r="P33" s="1"/>
      <c r="Q33" s="1"/>
      <c r="R33" s="1"/>
      <c r="S33" s="1"/>
      <c r="T33" s="1"/>
      <c r="U33" s="1"/>
      <c r="V33" s="1"/>
      <c r="W33" s="1"/>
      <c r="X33" s="1"/>
    </row>
  </sheetData>
  <mergeCells count="41">
    <mergeCell ref="Q10:Q11"/>
    <mergeCell ref="T10:T11"/>
    <mergeCell ref="R10:R11"/>
    <mergeCell ref="R6:R7"/>
    <mergeCell ref="M3:O3"/>
    <mergeCell ref="Q6:Q7"/>
    <mergeCell ref="P3:R3"/>
    <mergeCell ref="B12:C12"/>
    <mergeCell ref="A3:B4"/>
    <mergeCell ref="H10:H11"/>
    <mergeCell ref="E10:E11"/>
    <mergeCell ref="E6:E7"/>
    <mergeCell ref="A5:A11"/>
    <mergeCell ref="H6:H7"/>
    <mergeCell ref="D3:F3"/>
    <mergeCell ref="B5:B7"/>
    <mergeCell ref="F6:F7"/>
    <mergeCell ref="B9:B11"/>
    <mergeCell ref="F10:F11"/>
    <mergeCell ref="G3:I3"/>
    <mergeCell ref="W10:W11"/>
    <mergeCell ref="T6:T7"/>
    <mergeCell ref="V3:X3"/>
    <mergeCell ref="X10:X11"/>
    <mergeCell ref="X6:X7"/>
    <mergeCell ref="W6:W7"/>
    <mergeCell ref="U10:U11"/>
    <mergeCell ref="S3:U3"/>
    <mergeCell ref="U6:U7"/>
    <mergeCell ref="C1:O2"/>
    <mergeCell ref="L10:L11"/>
    <mergeCell ref="N10:N11"/>
    <mergeCell ref="O10:O11"/>
    <mergeCell ref="O6:O7"/>
    <mergeCell ref="J3:L3"/>
    <mergeCell ref="N6:N7"/>
    <mergeCell ref="K6:K7"/>
    <mergeCell ref="K10:K11"/>
    <mergeCell ref="L6:L7"/>
    <mergeCell ref="I10:I11"/>
    <mergeCell ref="I6:I7"/>
  </mergeCells>
  <phoneticPr fontId="23" type="noConversion"/>
  <printOptions horizontalCentered="1" verticalCentered="1"/>
  <pageMargins left="0.24" right="0.16" top="0" bottom="0" header="0.196850393700787" footer="0"/>
  <pageSetup paperSize="9" scale="84" orientation="landscape"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tint="4.9989318521683403E-2"/>
  </sheetPr>
  <dimension ref="A2:X32"/>
  <sheetViews>
    <sheetView showGridLines="0" zoomScale="85" zoomScaleNormal="85" workbookViewId="0">
      <pane xSplit="2" ySplit="1" topLeftCell="C2" activePane="bottomRight" state="frozen"/>
      <selection pane="topRight" activeCell="C1" sqref="C1"/>
      <selection pane="bottomLeft" activeCell="A8" sqref="A8"/>
      <selection pane="bottomRight" activeCell="H27" sqref="H27"/>
    </sheetView>
  </sheetViews>
  <sheetFormatPr defaultRowHeight="15" customHeight="1"/>
  <cols>
    <col min="1" max="1" width="13.375" bestFit="1" customWidth="1"/>
    <col min="2" max="2" width="11.625" bestFit="1" customWidth="1"/>
    <col min="3" max="3" width="12.75" customWidth="1"/>
    <col min="4" max="4" width="11.75" bestFit="1" customWidth="1"/>
    <col min="5" max="5" width="13.5" bestFit="1" customWidth="1"/>
    <col min="6" max="6" width="14.5" bestFit="1" customWidth="1"/>
    <col min="7" max="7" width="11.75" bestFit="1" customWidth="1"/>
    <col min="8" max="8" width="13.5" bestFit="1" customWidth="1"/>
    <col min="9" max="9" width="11.75" bestFit="1" customWidth="1"/>
    <col min="10" max="10" width="13.5" bestFit="1" customWidth="1"/>
    <col min="11" max="11" width="11.75" bestFit="1" customWidth="1"/>
    <col min="12" max="12" width="13.5" bestFit="1" customWidth="1"/>
    <col min="13" max="13" width="11.75" bestFit="1" customWidth="1"/>
    <col min="14" max="15" width="13.5" bestFit="1" customWidth="1"/>
    <col min="16" max="16" width="11.75" bestFit="1" customWidth="1"/>
    <col min="17" max="17" width="16.75" bestFit="1" customWidth="1"/>
    <col min="18" max="18" width="13.5" bestFit="1" customWidth="1"/>
    <col min="19" max="27" width="11.75" bestFit="1" customWidth="1"/>
  </cols>
  <sheetData>
    <row r="2" spans="1:24" ht="15" customHeight="1" thickBot="1"/>
    <row r="3" spans="1:24" ht="15" customHeight="1" thickBot="1">
      <c r="A3" s="398" t="s">
        <v>23</v>
      </c>
      <c r="B3" s="399"/>
      <c r="C3" s="3" t="s">
        <v>20</v>
      </c>
      <c r="D3" s="385" t="s">
        <v>1</v>
      </c>
      <c r="E3" s="386"/>
      <c r="F3" s="386"/>
      <c r="G3" s="385" t="s">
        <v>2</v>
      </c>
      <c r="H3" s="386"/>
      <c r="I3" s="387"/>
      <c r="J3" s="385" t="s">
        <v>3</v>
      </c>
      <c r="K3" s="386"/>
      <c r="L3" s="387"/>
      <c r="M3" s="385" t="s">
        <v>4</v>
      </c>
      <c r="N3" s="386"/>
      <c r="O3" s="387"/>
      <c r="P3" s="385" t="s">
        <v>5</v>
      </c>
      <c r="Q3" s="386"/>
      <c r="R3" s="387"/>
      <c r="S3" s="385" t="s">
        <v>6</v>
      </c>
      <c r="T3" s="386"/>
      <c r="U3" s="386"/>
      <c r="V3" s="385" t="s">
        <v>7</v>
      </c>
      <c r="W3" s="386"/>
      <c r="X3" s="387"/>
    </row>
    <row r="4" spans="1:24" ht="15" customHeight="1" thickBot="1">
      <c r="A4" s="400"/>
      <c r="B4" s="401"/>
      <c r="C4" s="4" t="s">
        <v>24</v>
      </c>
      <c r="D4" s="5" t="s">
        <v>25</v>
      </c>
      <c r="E4" s="6" t="s">
        <v>26</v>
      </c>
      <c r="F4" s="8" t="s">
        <v>27</v>
      </c>
      <c r="G4" s="5" t="s">
        <v>25</v>
      </c>
      <c r="H4" s="6" t="s">
        <v>26</v>
      </c>
      <c r="I4" s="8" t="s">
        <v>27</v>
      </c>
      <c r="J4" s="5" t="s">
        <v>25</v>
      </c>
      <c r="K4" s="6" t="s">
        <v>26</v>
      </c>
      <c r="L4" s="8" t="s">
        <v>27</v>
      </c>
      <c r="M4" s="5" t="s">
        <v>25</v>
      </c>
      <c r="N4" s="6" t="s">
        <v>26</v>
      </c>
      <c r="O4" s="8" t="s">
        <v>27</v>
      </c>
      <c r="P4" s="5" t="s">
        <v>25</v>
      </c>
      <c r="Q4" s="6" t="s">
        <v>26</v>
      </c>
      <c r="R4" s="8" t="s">
        <v>27</v>
      </c>
      <c r="S4" s="5" t="s">
        <v>25</v>
      </c>
      <c r="T4" s="6" t="s">
        <v>26</v>
      </c>
      <c r="U4" s="8" t="s">
        <v>27</v>
      </c>
      <c r="V4" s="5" t="s">
        <v>25</v>
      </c>
      <c r="W4" s="6" t="s">
        <v>26</v>
      </c>
      <c r="X4" s="7" t="s">
        <v>27</v>
      </c>
    </row>
    <row r="5" spans="1:24" ht="15" customHeight="1">
      <c r="A5" s="402" t="s">
        <v>36</v>
      </c>
      <c r="B5" s="404" t="s">
        <v>28</v>
      </c>
      <c r="C5" s="9" t="s">
        <v>29</v>
      </c>
      <c r="D5" s="10">
        <v>8</v>
      </c>
      <c r="E5" s="11">
        <f>8</f>
        <v>8</v>
      </c>
      <c r="F5" s="12">
        <f>E5*G18</f>
        <v>352564.10256410256</v>
      </c>
      <c r="G5" s="10">
        <v>8</v>
      </c>
      <c r="H5" s="11">
        <f>8</f>
        <v>8</v>
      </c>
      <c r="I5" s="12">
        <f>H5*G18</f>
        <v>352564.10256410256</v>
      </c>
      <c r="J5" s="10">
        <v>8</v>
      </c>
      <c r="K5" s="11">
        <f>8</f>
        <v>8</v>
      </c>
      <c r="L5" s="12">
        <f>K5*G18</f>
        <v>352564.10256410256</v>
      </c>
      <c r="M5" s="10">
        <v>8</v>
      </c>
      <c r="N5" s="11">
        <f>8</f>
        <v>8</v>
      </c>
      <c r="O5" s="12">
        <f>N5*G18</f>
        <v>352564.10256410256</v>
      </c>
      <c r="P5" s="10">
        <v>8</v>
      </c>
      <c r="Q5" s="11">
        <f>P5</f>
        <v>8</v>
      </c>
      <c r="R5" s="12">
        <f>Q5*G18</f>
        <v>352564.10256410256</v>
      </c>
      <c r="S5" s="10">
        <v>8</v>
      </c>
      <c r="T5" s="11">
        <f>S5</f>
        <v>8</v>
      </c>
      <c r="U5" s="13">
        <f>T5*G18</f>
        <v>352564.10256410256</v>
      </c>
      <c r="V5" s="10">
        <v>8</v>
      </c>
      <c r="W5" s="11">
        <f>V5</f>
        <v>8</v>
      </c>
      <c r="X5" s="14">
        <f>W5*G18</f>
        <v>352564.10256410256</v>
      </c>
    </row>
    <row r="6" spans="1:24" ht="15" customHeight="1">
      <c r="A6" s="403"/>
      <c r="B6" s="405"/>
      <c r="C6" s="16" t="s">
        <v>11</v>
      </c>
      <c r="D6" s="17">
        <v>14</v>
      </c>
      <c r="E6" s="388">
        <f>D6+D7</f>
        <v>33</v>
      </c>
      <c r="F6" s="383">
        <f>E6*G22</f>
        <v>693000</v>
      </c>
      <c r="G6" s="17">
        <v>14</v>
      </c>
      <c r="H6" s="388">
        <f>G6+G7</f>
        <v>33</v>
      </c>
      <c r="I6" s="383">
        <f>H6*G22</f>
        <v>693000</v>
      </c>
      <c r="J6" s="17">
        <v>14</v>
      </c>
      <c r="K6" s="388">
        <f>J6+J7</f>
        <v>33</v>
      </c>
      <c r="L6" s="383">
        <f>K6*G22</f>
        <v>693000</v>
      </c>
      <c r="M6" s="17">
        <v>14</v>
      </c>
      <c r="N6" s="388">
        <f>M6+M7</f>
        <v>33</v>
      </c>
      <c r="O6" s="383">
        <f>N6*G22</f>
        <v>693000</v>
      </c>
      <c r="P6" s="17">
        <v>14</v>
      </c>
      <c r="Q6" s="388">
        <f>P6+P7</f>
        <v>33</v>
      </c>
      <c r="R6" s="383">
        <f>Q6*G22</f>
        <v>693000</v>
      </c>
      <c r="S6" s="17">
        <v>30</v>
      </c>
      <c r="T6" s="388">
        <f>S6+S7</f>
        <v>65</v>
      </c>
      <c r="U6" s="407">
        <f>T6*G22</f>
        <v>1365000</v>
      </c>
      <c r="V6" s="17">
        <v>30</v>
      </c>
      <c r="W6" s="388">
        <f>V6+V7</f>
        <v>65</v>
      </c>
      <c r="X6" s="392">
        <f>W6*G22</f>
        <v>1365000</v>
      </c>
    </row>
    <row r="7" spans="1:24" ht="15" customHeight="1" thickBot="1">
      <c r="A7" s="403"/>
      <c r="B7" s="406"/>
      <c r="C7" s="18" t="s">
        <v>8</v>
      </c>
      <c r="D7" s="19">
        <v>19</v>
      </c>
      <c r="E7" s="389"/>
      <c r="F7" s="384"/>
      <c r="G7" s="19">
        <v>19</v>
      </c>
      <c r="H7" s="389"/>
      <c r="I7" s="384"/>
      <c r="J7" s="19">
        <v>19</v>
      </c>
      <c r="K7" s="389"/>
      <c r="L7" s="384"/>
      <c r="M7" s="19">
        <v>19</v>
      </c>
      <c r="N7" s="389"/>
      <c r="O7" s="384"/>
      <c r="P7" s="19">
        <v>19</v>
      </c>
      <c r="Q7" s="389"/>
      <c r="R7" s="384"/>
      <c r="S7" s="19">
        <v>35</v>
      </c>
      <c r="T7" s="389"/>
      <c r="U7" s="408"/>
      <c r="V7" s="19">
        <v>35</v>
      </c>
      <c r="W7" s="389"/>
      <c r="X7" s="393"/>
    </row>
    <row r="8" spans="1:24" ht="15" customHeight="1" thickBot="1">
      <c r="A8" s="403"/>
      <c r="B8" s="15"/>
      <c r="C8" s="20"/>
      <c r="D8" s="21"/>
      <c r="E8" s="21"/>
      <c r="F8" s="21"/>
      <c r="G8" s="21"/>
      <c r="H8" s="21"/>
      <c r="I8" s="22"/>
      <c r="J8" s="21"/>
      <c r="K8" s="21"/>
      <c r="L8" s="22"/>
      <c r="M8" s="21"/>
      <c r="N8" s="21"/>
      <c r="O8" s="22"/>
      <c r="P8" s="21"/>
      <c r="Q8" s="21"/>
      <c r="R8" s="22"/>
      <c r="S8" s="21"/>
      <c r="T8" s="21"/>
      <c r="U8" s="22"/>
      <c r="V8" s="20"/>
      <c r="W8" s="21"/>
      <c r="X8" s="23"/>
    </row>
    <row r="9" spans="1:24" ht="15" customHeight="1" thickBot="1">
      <c r="A9" s="403"/>
      <c r="B9" s="404" t="s">
        <v>30</v>
      </c>
      <c r="C9" s="24" t="s">
        <v>29</v>
      </c>
      <c r="D9" s="25">
        <v>8</v>
      </c>
      <c r="E9" s="26">
        <f>D9</f>
        <v>8</v>
      </c>
      <c r="F9" s="27">
        <f>E9*G18</f>
        <v>352564.10256410256</v>
      </c>
      <c r="G9" s="25">
        <v>8</v>
      </c>
      <c r="H9" s="26">
        <f>G9</f>
        <v>8</v>
      </c>
      <c r="I9" s="27">
        <f>H9*G18</f>
        <v>352564.10256410256</v>
      </c>
      <c r="J9" s="25">
        <v>8</v>
      </c>
      <c r="K9" s="26">
        <f>J9</f>
        <v>8</v>
      </c>
      <c r="L9" s="27">
        <f>K9*G18</f>
        <v>352564.10256410256</v>
      </c>
      <c r="M9" s="25">
        <v>8</v>
      </c>
      <c r="N9" s="26">
        <f>M9</f>
        <v>8</v>
      </c>
      <c r="O9" s="27">
        <f>N9*G18</f>
        <v>352564.10256410256</v>
      </c>
      <c r="P9" s="25">
        <v>16</v>
      </c>
      <c r="Q9" s="26">
        <f>P9</f>
        <v>16</v>
      </c>
      <c r="R9" s="27">
        <f>Q9*G18</f>
        <v>705128.20512820513</v>
      </c>
      <c r="S9" s="25">
        <v>16</v>
      </c>
      <c r="T9" s="26">
        <f>S9</f>
        <v>16</v>
      </c>
      <c r="U9" s="27">
        <f>T9*G18</f>
        <v>705128.20512820513</v>
      </c>
      <c r="V9" s="25">
        <v>16</v>
      </c>
      <c r="W9" s="26">
        <f>V9</f>
        <v>16</v>
      </c>
      <c r="X9" s="28">
        <f>W9*G18</f>
        <v>705128.20512820513</v>
      </c>
    </row>
    <row r="10" spans="1:24" ht="15" customHeight="1">
      <c r="A10" s="403"/>
      <c r="B10" s="405"/>
      <c r="C10" s="24" t="s">
        <v>11</v>
      </c>
      <c r="D10" s="29">
        <v>15</v>
      </c>
      <c r="E10" s="381">
        <f>D10+D11</f>
        <v>34</v>
      </c>
      <c r="F10" s="379">
        <f>E10*G22</f>
        <v>714000</v>
      </c>
      <c r="G10" s="29">
        <v>16</v>
      </c>
      <c r="H10" s="381">
        <f>G10+G11</f>
        <v>35</v>
      </c>
      <c r="I10" s="379">
        <f>H10*G22</f>
        <v>735000</v>
      </c>
      <c r="J10" s="29">
        <v>16</v>
      </c>
      <c r="K10" s="381">
        <f>J10+J11</f>
        <v>35</v>
      </c>
      <c r="L10" s="379">
        <f>K10*G22</f>
        <v>735000</v>
      </c>
      <c r="M10" s="29">
        <v>16</v>
      </c>
      <c r="N10" s="381">
        <f>M10+M11</f>
        <v>35</v>
      </c>
      <c r="O10" s="379">
        <f>N10*G22</f>
        <v>735000</v>
      </c>
      <c r="P10" s="29">
        <v>20</v>
      </c>
      <c r="Q10" s="381">
        <f>P10+P11</f>
        <v>41</v>
      </c>
      <c r="R10" s="379">
        <f>Q10*G22</f>
        <v>861000</v>
      </c>
      <c r="S10" s="29">
        <v>30</v>
      </c>
      <c r="T10" s="381">
        <f>S10+S11</f>
        <v>65</v>
      </c>
      <c r="U10" s="394">
        <f>T10*G22</f>
        <v>1365000</v>
      </c>
      <c r="V10" s="29">
        <v>30</v>
      </c>
      <c r="W10" s="381">
        <f>V10+V11</f>
        <v>65</v>
      </c>
      <c r="X10" s="390">
        <f>W10*G22</f>
        <v>1365000</v>
      </c>
    </row>
    <row r="11" spans="1:24" ht="15" customHeight="1" thickBot="1">
      <c r="A11" s="403"/>
      <c r="B11" s="405"/>
      <c r="C11" s="30" t="s">
        <v>8</v>
      </c>
      <c r="D11" s="31">
        <v>19</v>
      </c>
      <c r="E11" s="382"/>
      <c r="F11" s="380"/>
      <c r="G11" s="31">
        <v>19</v>
      </c>
      <c r="H11" s="382"/>
      <c r="I11" s="380"/>
      <c r="J11" s="31">
        <v>19</v>
      </c>
      <c r="K11" s="382"/>
      <c r="L11" s="380"/>
      <c r="M11" s="31">
        <v>19</v>
      </c>
      <c r="N11" s="382"/>
      <c r="O11" s="380"/>
      <c r="P11" s="31">
        <v>21</v>
      </c>
      <c r="Q11" s="382"/>
      <c r="R11" s="380"/>
      <c r="S11" s="31">
        <v>35</v>
      </c>
      <c r="T11" s="382"/>
      <c r="U11" s="395"/>
      <c r="V11" s="31">
        <v>35</v>
      </c>
      <c r="W11" s="382"/>
      <c r="X11" s="391"/>
    </row>
    <row r="12" spans="1:24" ht="15" customHeight="1" thickBot="1">
      <c r="A12" s="32"/>
      <c r="B12" s="396" t="s">
        <v>31</v>
      </c>
      <c r="C12" s="397"/>
      <c r="D12" s="33"/>
      <c r="E12" s="34">
        <f>E5+E6+E9+E10</f>
        <v>83</v>
      </c>
      <c r="F12" s="35">
        <f>F5+F6+F9+F10</f>
        <v>2112128.205128205</v>
      </c>
      <c r="G12" s="36"/>
      <c r="H12" s="37">
        <f>H5+H6+H9+H10</f>
        <v>84</v>
      </c>
      <c r="I12" s="35">
        <f>I5+I6+I9+I10</f>
        <v>2133128.205128205</v>
      </c>
      <c r="J12" s="36"/>
      <c r="K12" s="37">
        <f>K5+K6+K9+K10</f>
        <v>84</v>
      </c>
      <c r="L12" s="35">
        <f>L5+L6+L9+L10</f>
        <v>2133128.205128205</v>
      </c>
      <c r="M12" s="36"/>
      <c r="N12" s="37">
        <f>N5+N6+N9+N10</f>
        <v>84</v>
      </c>
      <c r="O12" s="35">
        <f>O5+O6+O9+O10</f>
        <v>2133128.205128205</v>
      </c>
      <c r="P12" s="36"/>
      <c r="Q12" s="37">
        <f>Q5+Q6+Q9+Q10</f>
        <v>98</v>
      </c>
      <c r="R12" s="35">
        <f>R5+R6+R9+R10</f>
        <v>2611692.3076923075</v>
      </c>
      <c r="S12" s="36"/>
      <c r="T12" s="37">
        <f>T5+T6+T9+T10</f>
        <v>154</v>
      </c>
      <c r="U12" s="38">
        <f>U5+U6+U9+U10</f>
        <v>3787692.3076923075</v>
      </c>
      <c r="V12" s="39"/>
      <c r="W12" s="37">
        <f>W5+W6+W9+W10</f>
        <v>154</v>
      </c>
      <c r="X12" s="40">
        <f>X5+X6+X9+X10</f>
        <v>3787692.3076923075</v>
      </c>
    </row>
    <row r="13" spans="1:24" ht="15" customHeight="1">
      <c r="A13" s="41"/>
      <c r="B13" s="41"/>
      <c r="C13" s="41"/>
      <c r="D13" s="42"/>
      <c r="E13" s="43"/>
      <c r="F13" s="42"/>
      <c r="G13" s="44"/>
      <c r="H13" s="41"/>
      <c r="I13" s="45"/>
      <c r="J13" s="41"/>
      <c r="K13" s="41"/>
      <c r="L13" s="41"/>
      <c r="M13" s="41"/>
      <c r="N13" s="41"/>
      <c r="O13" s="41"/>
      <c r="P13" s="41"/>
      <c r="Q13" s="41"/>
      <c r="R13" s="41"/>
      <c r="S13" s="41"/>
      <c r="T13" s="41"/>
      <c r="U13" s="41"/>
      <c r="V13" s="41"/>
      <c r="W13" s="41"/>
      <c r="X13" s="41"/>
    </row>
    <row r="14" spans="1:24" ht="15" customHeight="1">
      <c r="A14" s="1"/>
      <c r="B14" s="1"/>
      <c r="C14" s="46" t="s">
        <v>12</v>
      </c>
      <c r="D14" s="47"/>
      <c r="E14" s="48" t="s">
        <v>32</v>
      </c>
      <c r="F14" s="48" t="s">
        <v>33</v>
      </c>
      <c r="G14" s="49" t="s">
        <v>34</v>
      </c>
      <c r="H14" s="1"/>
      <c r="I14" s="2"/>
      <c r="J14" s="1"/>
      <c r="K14" s="1"/>
      <c r="L14" s="1"/>
      <c r="M14" s="1"/>
      <c r="N14" s="1"/>
      <c r="O14" s="1"/>
      <c r="P14" s="1"/>
      <c r="Q14" s="1"/>
      <c r="R14" s="1"/>
      <c r="S14" s="1"/>
      <c r="T14" s="1"/>
      <c r="U14" s="1"/>
      <c r="V14" s="1"/>
      <c r="W14" s="1"/>
      <c r="X14" s="1"/>
    </row>
    <row r="15" spans="1:24" ht="15" customHeight="1">
      <c r="A15" s="1"/>
      <c r="B15" s="1" t="s">
        <v>10</v>
      </c>
      <c r="C15" s="2">
        <v>13500000</v>
      </c>
      <c r="D15" s="47"/>
      <c r="E15" s="47"/>
      <c r="F15" s="47"/>
      <c r="G15" s="47"/>
      <c r="H15" s="1"/>
      <c r="I15" s="2"/>
      <c r="J15" s="1"/>
      <c r="K15" s="1"/>
      <c r="L15" s="1"/>
      <c r="M15" s="1"/>
      <c r="N15" s="1"/>
      <c r="O15" s="1"/>
      <c r="P15" s="1"/>
      <c r="Q15" s="1"/>
      <c r="R15" s="1"/>
      <c r="S15" s="1"/>
      <c r="T15" s="1"/>
      <c r="U15" s="1"/>
      <c r="V15" s="1"/>
      <c r="W15" s="1"/>
      <c r="X15" s="1"/>
    </row>
    <row r="16" spans="1:24" ht="15" customHeight="1">
      <c r="A16" s="1"/>
      <c r="B16" s="1" t="s">
        <v>9</v>
      </c>
      <c r="C16" s="2">
        <v>8000000</v>
      </c>
      <c r="D16" s="47"/>
      <c r="E16" s="47"/>
      <c r="F16" s="47"/>
      <c r="G16" s="47"/>
      <c r="H16" s="1"/>
      <c r="I16" s="2"/>
      <c r="J16" s="1"/>
      <c r="K16" s="1"/>
      <c r="L16" s="1"/>
      <c r="M16" s="1"/>
      <c r="N16" s="1"/>
      <c r="O16" s="1"/>
      <c r="P16" s="1"/>
      <c r="Q16" s="1"/>
      <c r="R16" s="1"/>
      <c r="S16" s="1"/>
      <c r="T16" s="1"/>
      <c r="U16" s="1"/>
      <c r="V16" s="1"/>
      <c r="W16" s="1"/>
      <c r="X16" s="1"/>
    </row>
    <row r="17" spans="1:24" ht="15" customHeight="1">
      <c r="A17" s="1"/>
      <c r="B17" s="1" t="s">
        <v>13</v>
      </c>
      <c r="C17" s="2">
        <v>6000000</v>
      </c>
      <c r="D17" s="47"/>
      <c r="E17" s="47"/>
      <c r="F17" s="47"/>
      <c r="G17" s="47"/>
      <c r="H17" s="1"/>
      <c r="I17" s="2"/>
      <c r="J17" s="1"/>
      <c r="K17" s="1"/>
      <c r="L17" s="1"/>
      <c r="M17" s="1"/>
      <c r="N17" s="1"/>
      <c r="O17" s="1"/>
      <c r="P17" s="1"/>
      <c r="Q17" s="1"/>
      <c r="R17" s="1"/>
      <c r="S17" s="1"/>
      <c r="T17" s="1"/>
      <c r="U17" s="1"/>
      <c r="V17" s="1"/>
      <c r="W17" s="1"/>
      <c r="X17" s="1"/>
    </row>
    <row r="18" spans="1:24" ht="15" customHeight="1">
      <c r="A18" s="1"/>
      <c r="B18" s="1"/>
      <c r="C18" s="2"/>
      <c r="D18" s="47"/>
      <c r="E18" s="2">
        <f>AVERAGE(C15:C18)</f>
        <v>9166666.666666666</v>
      </c>
      <c r="F18" s="47">
        <f>E18/26</f>
        <v>352564.10256410256</v>
      </c>
      <c r="G18" s="2">
        <f>F18/8</f>
        <v>44070.51282051282</v>
      </c>
      <c r="H18" s="1"/>
      <c r="I18" s="2"/>
      <c r="J18" s="1"/>
      <c r="K18" s="1"/>
      <c r="L18" s="1"/>
      <c r="M18" s="1"/>
      <c r="N18" s="1"/>
      <c r="O18" s="1"/>
      <c r="P18" s="1"/>
      <c r="Q18" s="1"/>
      <c r="R18" s="1"/>
      <c r="S18" s="1"/>
      <c r="T18" s="1"/>
      <c r="U18" s="1"/>
      <c r="V18" s="1"/>
      <c r="W18" s="1"/>
      <c r="X18" s="1"/>
    </row>
    <row r="19" spans="1:24" ht="15" customHeight="1">
      <c r="A19" s="1"/>
      <c r="B19" s="1"/>
      <c r="C19" s="1"/>
      <c r="D19" s="47"/>
      <c r="E19" s="47"/>
      <c r="F19" s="47"/>
      <c r="G19" s="47"/>
      <c r="H19" s="1"/>
      <c r="I19" s="2"/>
      <c r="J19" s="1"/>
      <c r="K19" s="1"/>
      <c r="L19" s="1"/>
      <c r="M19" s="1"/>
      <c r="N19" s="1"/>
      <c r="O19" s="1"/>
      <c r="P19" s="1"/>
      <c r="Q19" s="1"/>
      <c r="R19" s="1"/>
      <c r="S19" s="1"/>
      <c r="T19" s="1"/>
      <c r="U19" s="1"/>
      <c r="V19" s="1"/>
      <c r="W19" s="1"/>
      <c r="X19" s="1"/>
    </row>
    <row r="20" spans="1:24" ht="15" customHeight="1">
      <c r="A20" s="1"/>
      <c r="B20" s="1" t="s">
        <v>18</v>
      </c>
      <c r="C20" s="2">
        <v>22000</v>
      </c>
      <c r="D20" s="47"/>
      <c r="E20" s="47"/>
      <c r="F20" s="47"/>
      <c r="G20" s="47"/>
      <c r="H20" s="1"/>
      <c r="I20" s="2"/>
      <c r="J20" s="1"/>
      <c r="K20" s="1"/>
      <c r="L20" s="1"/>
      <c r="M20" s="1"/>
      <c r="N20" s="1"/>
      <c r="O20" s="1"/>
      <c r="P20" s="1"/>
      <c r="Q20" s="1"/>
      <c r="R20" s="1"/>
      <c r="S20" s="1"/>
      <c r="T20" s="1"/>
      <c r="U20" s="1"/>
      <c r="V20" s="1"/>
      <c r="W20" s="1"/>
      <c r="X20" s="1"/>
    </row>
    <row r="21" spans="1:24" ht="15" customHeight="1">
      <c r="A21" s="1"/>
      <c r="B21" s="1" t="s">
        <v>15</v>
      </c>
      <c r="C21" s="2">
        <v>21000</v>
      </c>
      <c r="D21" s="47"/>
      <c r="E21" s="47"/>
      <c r="F21" s="47"/>
      <c r="G21" s="47"/>
      <c r="H21" s="1"/>
      <c r="I21" s="2"/>
      <c r="J21" s="1"/>
      <c r="K21" s="1"/>
      <c r="L21" s="1"/>
      <c r="M21" s="1"/>
      <c r="N21" s="1"/>
      <c r="O21" s="1"/>
      <c r="P21" s="1"/>
      <c r="Q21" s="1"/>
      <c r="R21" s="1"/>
      <c r="S21" s="1"/>
      <c r="T21" s="1"/>
      <c r="U21" s="1"/>
      <c r="V21" s="1"/>
      <c r="W21" s="1"/>
      <c r="X21" s="1"/>
    </row>
    <row r="22" spans="1:24" ht="15" customHeight="1">
      <c r="A22" s="1"/>
      <c r="B22" s="1" t="s">
        <v>16</v>
      </c>
      <c r="C22" s="2">
        <v>20000</v>
      </c>
      <c r="D22" s="47"/>
      <c r="E22" s="2"/>
      <c r="F22" s="47"/>
      <c r="G22" s="2">
        <f>AVERAGE(C20:C22)</f>
        <v>21000</v>
      </c>
      <c r="H22" s="1"/>
      <c r="I22" s="2"/>
      <c r="J22" s="1"/>
      <c r="K22" s="1"/>
      <c r="L22" s="1"/>
      <c r="M22" s="1"/>
      <c r="N22" s="1"/>
      <c r="O22" s="1"/>
      <c r="P22" s="1"/>
      <c r="Q22" s="1"/>
      <c r="R22" s="1"/>
      <c r="S22" s="1"/>
      <c r="T22" s="1"/>
      <c r="U22" s="1"/>
      <c r="V22" s="1"/>
      <c r="W22" s="1"/>
      <c r="X22" s="1"/>
    </row>
    <row r="23" spans="1:24" ht="15" customHeight="1">
      <c r="A23" s="1"/>
      <c r="B23" s="1"/>
      <c r="C23" s="1"/>
      <c r="D23" s="47"/>
      <c r="E23" s="47"/>
      <c r="F23" s="47"/>
      <c r="G23" s="50"/>
      <c r="H23" s="1"/>
      <c r="I23" s="2"/>
      <c r="J23" s="1"/>
      <c r="K23" s="1"/>
      <c r="L23" s="1"/>
      <c r="M23" s="1"/>
      <c r="N23" s="1"/>
      <c r="O23" s="1"/>
      <c r="P23" s="1"/>
      <c r="Q23" s="1"/>
      <c r="R23" s="1"/>
      <c r="S23" s="1"/>
      <c r="T23" s="1"/>
      <c r="U23" s="1"/>
      <c r="V23" s="1"/>
      <c r="W23" s="1"/>
      <c r="X23" s="1"/>
    </row>
    <row r="24" spans="1:24" ht="15" customHeight="1">
      <c r="A24" s="1" t="s">
        <v>35</v>
      </c>
      <c r="B24" s="1"/>
      <c r="C24" s="51">
        <f>SUM(C26:C32)</f>
        <v>146000000</v>
      </c>
      <c r="D24" s="47"/>
      <c r="E24" s="47"/>
      <c r="F24" s="47"/>
      <c r="G24" s="50"/>
      <c r="H24" s="1"/>
      <c r="I24" s="2"/>
      <c r="J24" s="1"/>
      <c r="K24" s="1"/>
      <c r="L24" s="1"/>
      <c r="M24" s="1"/>
      <c r="N24" s="1"/>
      <c r="O24" s="1"/>
      <c r="P24" s="1"/>
      <c r="Q24" s="1"/>
      <c r="R24" s="1"/>
      <c r="S24" s="1"/>
      <c r="T24" s="1"/>
      <c r="U24" s="1"/>
      <c r="V24" s="1"/>
      <c r="W24" s="1"/>
      <c r="X24" s="1"/>
    </row>
    <row r="25" spans="1:24" ht="15" customHeight="1">
      <c r="A25" s="1"/>
      <c r="B25" s="1"/>
      <c r="C25" s="1"/>
      <c r="D25" s="47"/>
      <c r="E25" s="47"/>
      <c r="F25" s="47"/>
      <c r="G25" s="50"/>
      <c r="H25" s="1"/>
      <c r="I25" s="2"/>
      <c r="J25" s="1"/>
      <c r="K25" s="1"/>
      <c r="L25" s="1"/>
      <c r="M25" s="1"/>
      <c r="N25" s="1"/>
      <c r="O25" s="1"/>
      <c r="P25" s="1"/>
      <c r="Q25" s="1"/>
      <c r="R25" s="1"/>
      <c r="S25" s="1"/>
      <c r="T25" s="1"/>
      <c r="U25" s="1"/>
      <c r="V25" s="1"/>
      <c r="W25" s="1"/>
      <c r="X25" s="1"/>
    </row>
    <row r="26" spans="1:24" ht="15" customHeight="1">
      <c r="A26" s="1"/>
      <c r="B26" s="1" t="s">
        <v>1</v>
      </c>
      <c r="C26" s="2">
        <v>12000000</v>
      </c>
      <c r="D26" s="47"/>
      <c r="E26" s="47"/>
      <c r="F26" s="47"/>
      <c r="G26" s="50"/>
      <c r="H26" s="1"/>
      <c r="I26" s="2"/>
      <c r="J26" s="1"/>
      <c r="K26" s="1"/>
      <c r="L26" s="1"/>
      <c r="M26" s="1"/>
      <c r="N26" s="1"/>
      <c r="O26" s="1"/>
      <c r="P26" s="1"/>
      <c r="Q26" s="1"/>
      <c r="R26" s="1"/>
      <c r="S26" s="1"/>
      <c r="T26" s="1"/>
      <c r="U26" s="1"/>
      <c r="V26" s="1"/>
      <c r="W26" s="1"/>
      <c r="X26" s="1"/>
    </row>
    <row r="27" spans="1:24" ht="15" customHeight="1">
      <c r="A27" s="1"/>
      <c r="B27" s="1" t="s">
        <v>2</v>
      </c>
      <c r="C27" s="2">
        <v>12000000</v>
      </c>
      <c r="D27" s="47"/>
      <c r="E27" s="47"/>
      <c r="F27" s="47"/>
      <c r="G27" s="50"/>
      <c r="H27" s="1"/>
      <c r="I27" s="2"/>
      <c r="J27" s="1"/>
      <c r="K27" s="1"/>
      <c r="L27" s="1"/>
      <c r="M27" s="1"/>
      <c r="N27" s="1"/>
      <c r="O27" s="1"/>
      <c r="P27" s="1"/>
      <c r="Q27" s="1"/>
      <c r="R27" s="1"/>
      <c r="S27" s="1"/>
      <c r="T27" s="1"/>
      <c r="U27" s="1"/>
      <c r="V27" s="1"/>
      <c r="W27" s="1"/>
      <c r="X27" s="1"/>
    </row>
    <row r="28" spans="1:24" ht="15" customHeight="1">
      <c r="A28" s="1"/>
      <c r="B28" s="1" t="s">
        <v>3</v>
      </c>
      <c r="C28" s="2">
        <v>12000000</v>
      </c>
      <c r="D28" s="47"/>
      <c r="E28" s="47"/>
      <c r="F28" s="47"/>
      <c r="G28" s="50"/>
      <c r="H28" s="1"/>
      <c r="I28" s="2"/>
      <c r="J28" s="1"/>
      <c r="K28" s="1"/>
      <c r="L28" s="1"/>
      <c r="M28" s="1"/>
      <c r="N28" s="1"/>
      <c r="O28" s="1"/>
      <c r="P28" s="1"/>
      <c r="Q28" s="1"/>
      <c r="R28" s="1"/>
      <c r="S28" s="1"/>
      <c r="T28" s="1"/>
      <c r="U28" s="1"/>
      <c r="V28" s="1"/>
      <c r="W28" s="1"/>
      <c r="X28" s="1"/>
    </row>
    <row r="29" spans="1:24" ht="15" customHeight="1">
      <c r="A29" s="1"/>
      <c r="B29" s="1" t="s">
        <v>4</v>
      </c>
      <c r="C29" s="2">
        <v>13000000</v>
      </c>
      <c r="D29" s="47"/>
      <c r="E29" s="47"/>
      <c r="F29" s="47"/>
      <c r="G29" s="50"/>
      <c r="H29" s="1"/>
      <c r="I29" s="2"/>
      <c r="J29" s="1"/>
      <c r="K29" s="1"/>
      <c r="L29" s="1"/>
      <c r="M29" s="1"/>
      <c r="N29" s="1"/>
      <c r="O29" s="1"/>
      <c r="P29" s="1"/>
      <c r="Q29" s="1"/>
      <c r="R29" s="1"/>
      <c r="S29" s="1"/>
      <c r="T29" s="1"/>
      <c r="U29" s="1"/>
      <c r="V29" s="1"/>
      <c r="W29" s="1"/>
      <c r="X29" s="1"/>
    </row>
    <row r="30" spans="1:24" ht="15" customHeight="1">
      <c r="A30" s="1"/>
      <c r="B30" s="1" t="s">
        <v>5</v>
      </c>
      <c r="C30" s="2">
        <v>17000000</v>
      </c>
      <c r="D30" s="47"/>
      <c r="E30" s="47"/>
      <c r="F30" s="47"/>
      <c r="G30" s="50"/>
      <c r="H30" s="1"/>
      <c r="I30" s="2"/>
      <c r="J30" s="1"/>
      <c r="K30" s="1"/>
      <c r="L30" s="1"/>
      <c r="M30" s="1"/>
      <c r="N30" s="1"/>
      <c r="O30" s="1"/>
      <c r="P30" s="1"/>
      <c r="Q30" s="1"/>
      <c r="R30" s="1"/>
      <c r="S30" s="1"/>
      <c r="T30" s="1"/>
      <c r="U30" s="1"/>
      <c r="V30" s="1"/>
      <c r="W30" s="1"/>
      <c r="X30" s="1"/>
    </row>
    <row r="31" spans="1:24" ht="15" customHeight="1">
      <c r="A31" s="1"/>
      <c r="B31" s="1" t="s">
        <v>6</v>
      </c>
      <c r="C31" s="2">
        <v>40000000</v>
      </c>
      <c r="D31" s="47"/>
      <c r="E31" s="47"/>
      <c r="F31" s="47"/>
      <c r="G31" s="50"/>
      <c r="H31" s="1"/>
      <c r="I31" s="2"/>
      <c r="J31" s="1"/>
      <c r="K31" s="1"/>
      <c r="L31" s="1"/>
      <c r="M31" s="1"/>
      <c r="N31" s="1"/>
      <c r="O31" s="1"/>
      <c r="P31" s="1"/>
      <c r="Q31" s="1"/>
      <c r="R31" s="1"/>
      <c r="S31" s="1"/>
      <c r="T31" s="1"/>
      <c r="U31" s="1"/>
      <c r="V31" s="1"/>
      <c r="W31" s="1"/>
      <c r="X31" s="1"/>
    </row>
    <row r="32" spans="1:24" ht="15" customHeight="1">
      <c r="A32" s="1"/>
      <c r="B32" s="1" t="s">
        <v>7</v>
      </c>
      <c r="C32" s="2">
        <v>40000000</v>
      </c>
      <c r="D32" s="47"/>
      <c r="E32" s="47"/>
      <c r="F32" s="47"/>
      <c r="G32" s="50"/>
      <c r="H32" s="1"/>
      <c r="I32" s="2"/>
      <c r="J32" s="1"/>
      <c r="K32" s="1"/>
      <c r="L32" s="1"/>
      <c r="M32" s="1"/>
      <c r="N32" s="1"/>
      <c r="O32" s="1"/>
      <c r="P32" s="1"/>
      <c r="Q32" s="1"/>
      <c r="R32" s="1"/>
      <c r="S32" s="1"/>
      <c r="T32" s="1"/>
      <c r="U32" s="1"/>
      <c r="V32" s="1"/>
      <c r="W32" s="1"/>
      <c r="X32" s="1"/>
    </row>
  </sheetData>
  <mergeCells count="40">
    <mergeCell ref="B12:C12"/>
    <mergeCell ref="O10:O11"/>
    <mergeCell ref="Q10:Q11"/>
    <mergeCell ref="R10:R11"/>
    <mergeCell ref="T10:T11"/>
    <mergeCell ref="W6:W7"/>
    <mergeCell ref="X6:X7"/>
    <mergeCell ref="B9:B11"/>
    <mergeCell ref="E10:E11"/>
    <mergeCell ref="F10:F11"/>
    <mergeCell ref="H10:H11"/>
    <mergeCell ref="I10:I11"/>
    <mergeCell ref="K10:K11"/>
    <mergeCell ref="L10:L11"/>
    <mergeCell ref="X10:X11"/>
    <mergeCell ref="W10:W11"/>
    <mergeCell ref="N10:N11"/>
    <mergeCell ref="U10:U11"/>
    <mergeCell ref="Q6:Q7"/>
    <mergeCell ref="R6:R7"/>
    <mergeCell ref="T6:T7"/>
    <mergeCell ref="P3:R3"/>
    <mergeCell ref="S3:U3"/>
    <mergeCell ref="U6:U7"/>
    <mergeCell ref="V3:X3"/>
    <mergeCell ref="A5:A11"/>
    <mergeCell ref="B5:B7"/>
    <mergeCell ref="E6:E7"/>
    <mergeCell ref="F6:F7"/>
    <mergeCell ref="H6:H7"/>
    <mergeCell ref="I6:I7"/>
    <mergeCell ref="K6:K7"/>
    <mergeCell ref="L6:L7"/>
    <mergeCell ref="A3:B4"/>
    <mergeCell ref="N6:N7"/>
    <mergeCell ref="O6:O7"/>
    <mergeCell ref="D3:F3"/>
    <mergeCell ref="G3:I3"/>
    <mergeCell ref="J3:L3"/>
    <mergeCell ref="M3:O3"/>
  </mergeCells>
  <phoneticPr fontId="23" type="noConversion"/>
  <printOptions horizontalCentered="1" verticalCentered="1"/>
  <pageMargins left="0.24" right="0.16" top="0" bottom="0" header="0.196850393700787" footer="0"/>
  <pageSetup paperSize="9" scale="84" orientation="landscape"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1" tint="4.9989318521683403E-2"/>
  </sheetPr>
  <dimension ref="A2:X45"/>
  <sheetViews>
    <sheetView showGridLines="0" zoomScale="85" zoomScaleNormal="85" workbookViewId="0">
      <pane xSplit="2" ySplit="1" topLeftCell="C2" activePane="bottomRight" state="frozen"/>
      <selection pane="topRight" activeCell="C1" sqref="C1"/>
      <selection pane="bottomLeft" activeCell="A8" sqref="A8"/>
      <selection pane="bottomRight" activeCell="J19" sqref="J19"/>
    </sheetView>
  </sheetViews>
  <sheetFormatPr defaultRowHeight="15" customHeight="1"/>
  <cols>
    <col min="1" max="1" width="13.375" bestFit="1" customWidth="1"/>
    <col min="2" max="2" width="11.625" bestFit="1" customWidth="1"/>
    <col min="3" max="3" width="13.625" customWidth="1"/>
    <col min="4" max="4" width="11.75" bestFit="1" customWidth="1"/>
    <col min="5" max="5" width="13.5" bestFit="1" customWidth="1"/>
    <col min="6" max="6" width="14.5" bestFit="1" customWidth="1"/>
    <col min="7" max="7" width="11.75" bestFit="1" customWidth="1"/>
    <col min="8" max="8" width="13.5" bestFit="1" customWidth="1"/>
    <col min="9" max="9" width="11.75" bestFit="1" customWidth="1"/>
    <col min="10" max="10" width="13.5" bestFit="1" customWidth="1"/>
    <col min="11" max="11" width="11.75" bestFit="1" customWidth="1"/>
    <col min="12" max="12" width="13.5" bestFit="1" customWidth="1"/>
    <col min="13" max="13" width="11.75" bestFit="1" customWidth="1"/>
    <col min="14" max="15" width="13.5" bestFit="1" customWidth="1"/>
    <col min="16" max="16" width="11.75" bestFit="1" customWidth="1"/>
    <col min="17" max="17" width="16.75" bestFit="1" customWidth="1"/>
    <col min="18" max="18" width="13.5" bestFit="1" customWidth="1"/>
    <col min="19" max="27" width="11.75" bestFit="1" customWidth="1"/>
  </cols>
  <sheetData>
    <row r="2" spans="1:24" ht="15" customHeight="1" thickBot="1"/>
    <row r="3" spans="1:24" ht="15" customHeight="1" thickBot="1">
      <c r="A3" s="398" t="s">
        <v>23</v>
      </c>
      <c r="B3" s="399"/>
      <c r="C3" s="3" t="s">
        <v>20</v>
      </c>
      <c r="D3" s="385" t="s">
        <v>1</v>
      </c>
      <c r="E3" s="386"/>
      <c r="F3" s="386"/>
      <c r="G3" s="385" t="s">
        <v>2</v>
      </c>
      <c r="H3" s="386"/>
      <c r="I3" s="387"/>
      <c r="J3" s="385" t="s">
        <v>3</v>
      </c>
      <c r="K3" s="386"/>
      <c r="L3" s="387"/>
      <c r="M3" s="385" t="s">
        <v>4</v>
      </c>
      <c r="N3" s="386"/>
      <c r="O3" s="387"/>
      <c r="P3" s="385" t="s">
        <v>5</v>
      </c>
      <c r="Q3" s="386"/>
      <c r="R3" s="387"/>
      <c r="S3" s="385" t="s">
        <v>6</v>
      </c>
      <c r="T3" s="386"/>
      <c r="U3" s="386"/>
      <c r="V3" s="385" t="s">
        <v>7</v>
      </c>
      <c r="W3" s="386"/>
      <c r="X3" s="387"/>
    </row>
    <row r="4" spans="1:24" ht="15" customHeight="1" thickBot="1">
      <c r="A4" s="400"/>
      <c r="B4" s="401"/>
      <c r="C4" s="4" t="s">
        <v>24</v>
      </c>
      <c r="D4" s="5" t="s">
        <v>25</v>
      </c>
      <c r="E4" s="6" t="s">
        <v>26</v>
      </c>
      <c r="F4" s="8" t="s">
        <v>27</v>
      </c>
      <c r="G4" s="5" t="s">
        <v>25</v>
      </c>
      <c r="H4" s="6" t="s">
        <v>26</v>
      </c>
      <c r="I4" s="8" t="s">
        <v>27</v>
      </c>
      <c r="J4" s="5" t="s">
        <v>25</v>
      </c>
      <c r="K4" s="6" t="s">
        <v>26</v>
      </c>
      <c r="L4" s="8" t="s">
        <v>27</v>
      </c>
      <c r="M4" s="5" t="s">
        <v>25</v>
      </c>
      <c r="N4" s="6" t="s">
        <v>26</v>
      </c>
      <c r="O4" s="8" t="s">
        <v>27</v>
      </c>
      <c r="P4" s="5" t="s">
        <v>25</v>
      </c>
      <c r="Q4" s="6" t="s">
        <v>26</v>
      </c>
      <c r="R4" s="8" t="s">
        <v>27</v>
      </c>
      <c r="S4" s="5" t="s">
        <v>25</v>
      </c>
      <c r="T4" s="6" t="s">
        <v>26</v>
      </c>
      <c r="U4" s="8" t="s">
        <v>27</v>
      </c>
      <c r="V4" s="5" t="s">
        <v>25</v>
      </c>
      <c r="W4" s="6" t="s">
        <v>26</v>
      </c>
      <c r="X4" s="7" t="s">
        <v>27</v>
      </c>
    </row>
    <row r="5" spans="1:24" ht="15" customHeight="1">
      <c r="A5" s="402" t="s">
        <v>37</v>
      </c>
      <c r="B5" s="404" t="s">
        <v>28</v>
      </c>
      <c r="C5" s="9" t="s">
        <v>29</v>
      </c>
      <c r="D5" s="10">
        <v>8</v>
      </c>
      <c r="E5" s="11">
        <f>8</f>
        <v>8</v>
      </c>
      <c r="F5" s="12">
        <f>E5*G17</f>
        <v>307692.30769230769</v>
      </c>
      <c r="G5" s="10">
        <v>8</v>
      </c>
      <c r="H5" s="11">
        <f>8</f>
        <v>8</v>
      </c>
      <c r="I5" s="12">
        <f>H5*G17</f>
        <v>307692.30769230769</v>
      </c>
      <c r="J5" s="10">
        <v>8</v>
      </c>
      <c r="K5" s="11">
        <f>8</f>
        <v>8</v>
      </c>
      <c r="L5" s="12">
        <f>K5*G17</f>
        <v>307692.30769230769</v>
      </c>
      <c r="M5" s="10">
        <v>8</v>
      </c>
      <c r="N5" s="11">
        <f>8</f>
        <v>8</v>
      </c>
      <c r="O5" s="12">
        <f>N5*G17</f>
        <v>307692.30769230769</v>
      </c>
      <c r="P5" s="10">
        <v>8</v>
      </c>
      <c r="Q5" s="11">
        <f>P5</f>
        <v>8</v>
      </c>
      <c r="R5" s="12">
        <f>Q5*G17</f>
        <v>307692.30769230769</v>
      </c>
      <c r="S5" s="10">
        <v>8</v>
      </c>
      <c r="T5" s="11">
        <f>S5</f>
        <v>8</v>
      </c>
      <c r="U5" s="13">
        <f>T5*G17</f>
        <v>307692.30769230769</v>
      </c>
      <c r="V5" s="10">
        <v>8</v>
      </c>
      <c r="W5" s="11">
        <f>V5</f>
        <v>8</v>
      </c>
      <c r="X5" s="14">
        <f>W5*G17</f>
        <v>307692.30769230769</v>
      </c>
    </row>
    <row r="6" spans="1:24" ht="15" customHeight="1">
      <c r="A6" s="403"/>
      <c r="B6" s="405"/>
      <c r="C6" s="16" t="s">
        <v>11</v>
      </c>
      <c r="D6" s="17">
        <v>15</v>
      </c>
      <c r="E6" s="388">
        <f>D6+D7</f>
        <v>34</v>
      </c>
      <c r="F6" s="383">
        <f>E6*G21</f>
        <v>714000</v>
      </c>
      <c r="G6" s="17">
        <v>15</v>
      </c>
      <c r="H6" s="388">
        <f>G6+G7</f>
        <v>34</v>
      </c>
      <c r="I6" s="383">
        <f>H6*G21</f>
        <v>714000</v>
      </c>
      <c r="J6" s="17">
        <v>15</v>
      </c>
      <c r="K6" s="388">
        <f>J6+J7</f>
        <v>34</v>
      </c>
      <c r="L6" s="383">
        <f>K6*G21</f>
        <v>714000</v>
      </c>
      <c r="M6" s="17">
        <v>15</v>
      </c>
      <c r="N6" s="388">
        <f>M6+M7</f>
        <v>34</v>
      </c>
      <c r="O6" s="383">
        <f>N6*G21</f>
        <v>714000</v>
      </c>
      <c r="P6" s="17">
        <v>19</v>
      </c>
      <c r="Q6" s="388">
        <f>P6+P7</f>
        <v>39</v>
      </c>
      <c r="R6" s="383">
        <f>Q6*G21</f>
        <v>819000</v>
      </c>
      <c r="S6" s="17">
        <v>35</v>
      </c>
      <c r="T6" s="388">
        <f>S6+S7</f>
        <v>70</v>
      </c>
      <c r="U6" s="407">
        <f>T6*G21</f>
        <v>1470000</v>
      </c>
      <c r="V6" s="17">
        <v>35</v>
      </c>
      <c r="W6" s="388">
        <f>V6+V7</f>
        <v>70</v>
      </c>
      <c r="X6" s="392">
        <f>W6*G21</f>
        <v>1470000</v>
      </c>
    </row>
    <row r="7" spans="1:24" ht="15" customHeight="1" thickBot="1">
      <c r="A7" s="403"/>
      <c r="B7" s="406"/>
      <c r="C7" s="18" t="s">
        <v>8</v>
      </c>
      <c r="D7" s="19">
        <v>19</v>
      </c>
      <c r="E7" s="389"/>
      <c r="F7" s="384"/>
      <c r="G7" s="19">
        <v>19</v>
      </c>
      <c r="H7" s="389"/>
      <c r="I7" s="384"/>
      <c r="J7" s="19">
        <v>19</v>
      </c>
      <c r="K7" s="389"/>
      <c r="L7" s="384"/>
      <c r="M7" s="19">
        <v>19</v>
      </c>
      <c r="N7" s="389"/>
      <c r="O7" s="384"/>
      <c r="P7" s="19">
        <v>20</v>
      </c>
      <c r="Q7" s="389"/>
      <c r="R7" s="384"/>
      <c r="S7" s="19">
        <v>35</v>
      </c>
      <c r="T7" s="389"/>
      <c r="U7" s="408"/>
      <c r="V7" s="19">
        <v>35</v>
      </c>
      <c r="W7" s="389"/>
      <c r="X7" s="393"/>
    </row>
    <row r="8" spans="1:24" ht="15" customHeight="1" thickBot="1">
      <c r="A8" s="403"/>
      <c r="B8" s="15"/>
      <c r="C8" s="20"/>
      <c r="D8" s="21"/>
      <c r="E8" s="21"/>
      <c r="F8" s="21"/>
      <c r="G8" s="21"/>
      <c r="H8" s="21"/>
      <c r="I8" s="22"/>
      <c r="J8" s="21"/>
      <c r="K8" s="21"/>
      <c r="L8" s="22"/>
      <c r="M8" s="21"/>
      <c r="N8" s="21"/>
      <c r="O8" s="22"/>
      <c r="P8" s="21"/>
      <c r="Q8" s="21"/>
      <c r="R8" s="22"/>
      <c r="S8" s="21"/>
      <c r="T8" s="21"/>
      <c r="U8" s="22"/>
      <c r="V8" s="20"/>
      <c r="W8" s="21"/>
      <c r="X8" s="23"/>
    </row>
    <row r="9" spans="1:24" ht="15" customHeight="1" thickBot="1">
      <c r="A9" s="403"/>
      <c r="B9" s="404" t="s">
        <v>30</v>
      </c>
      <c r="C9" s="24" t="s">
        <v>29</v>
      </c>
      <c r="D9" s="25">
        <v>8</v>
      </c>
      <c r="E9" s="26">
        <f>D9</f>
        <v>8</v>
      </c>
      <c r="F9" s="27">
        <f>E9*G17</f>
        <v>307692.30769230769</v>
      </c>
      <c r="G9" s="25">
        <v>8</v>
      </c>
      <c r="H9" s="26">
        <f>G9</f>
        <v>8</v>
      </c>
      <c r="I9" s="27">
        <f>H9*G17</f>
        <v>307692.30769230769</v>
      </c>
      <c r="J9" s="25">
        <v>16</v>
      </c>
      <c r="K9" s="26">
        <f>J9</f>
        <v>16</v>
      </c>
      <c r="L9" s="27">
        <f>K9*G17</f>
        <v>615384.61538461538</v>
      </c>
      <c r="M9" s="25">
        <v>8</v>
      </c>
      <c r="N9" s="26">
        <f>M9</f>
        <v>8</v>
      </c>
      <c r="O9" s="27">
        <f>N9*G17</f>
        <v>307692.30769230769</v>
      </c>
      <c r="P9" s="25">
        <v>8</v>
      </c>
      <c r="Q9" s="26">
        <f>P9</f>
        <v>8</v>
      </c>
      <c r="R9" s="27">
        <f>Q9*G17</f>
        <v>307692.30769230769</v>
      </c>
      <c r="S9" s="25">
        <v>16</v>
      </c>
      <c r="T9" s="26">
        <f>S9</f>
        <v>16</v>
      </c>
      <c r="U9" s="27">
        <f>T9*G17</f>
        <v>615384.61538461538</v>
      </c>
      <c r="V9" s="25">
        <v>16</v>
      </c>
      <c r="W9" s="26">
        <f>V9</f>
        <v>16</v>
      </c>
      <c r="X9" s="28">
        <f>W9*G17</f>
        <v>615384.61538461538</v>
      </c>
    </row>
    <row r="10" spans="1:24" ht="15" customHeight="1">
      <c r="A10" s="403"/>
      <c r="B10" s="405"/>
      <c r="C10" s="24" t="s">
        <v>11</v>
      </c>
      <c r="D10" s="29">
        <v>19</v>
      </c>
      <c r="E10" s="381">
        <f>D10+D11</f>
        <v>39</v>
      </c>
      <c r="F10" s="379">
        <f>E10*G21</f>
        <v>819000</v>
      </c>
      <c r="G10" s="29">
        <v>19</v>
      </c>
      <c r="H10" s="381">
        <f>G10+G11</f>
        <v>39</v>
      </c>
      <c r="I10" s="379">
        <f>H10*G21</f>
        <v>819000</v>
      </c>
      <c r="J10" s="29">
        <v>19</v>
      </c>
      <c r="K10" s="381">
        <f>J10+J11</f>
        <v>39</v>
      </c>
      <c r="L10" s="379">
        <f>K10*G21</f>
        <v>819000</v>
      </c>
      <c r="M10" s="29">
        <v>19</v>
      </c>
      <c r="N10" s="381">
        <f>M10+M11</f>
        <v>39</v>
      </c>
      <c r="O10" s="379">
        <f>N10*G21</f>
        <v>819000</v>
      </c>
      <c r="P10" s="29">
        <v>19</v>
      </c>
      <c r="Q10" s="381">
        <f>P10+P11</f>
        <v>44</v>
      </c>
      <c r="R10" s="379">
        <f>Q10*G21</f>
        <v>924000</v>
      </c>
      <c r="S10" s="29">
        <v>35</v>
      </c>
      <c r="T10" s="381">
        <f>S10+S11</f>
        <v>70</v>
      </c>
      <c r="U10" s="394">
        <f>T10*G21</f>
        <v>1470000</v>
      </c>
      <c r="V10" s="29">
        <v>35</v>
      </c>
      <c r="W10" s="381">
        <f>V10+V11</f>
        <v>70</v>
      </c>
      <c r="X10" s="390">
        <f>W10*G21</f>
        <v>1470000</v>
      </c>
    </row>
    <row r="11" spans="1:24" ht="15" customHeight="1" thickBot="1">
      <c r="A11" s="403"/>
      <c r="B11" s="405"/>
      <c r="C11" s="30" t="s">
        <v>8</v>
      </c>
      <c r="D11" s="31">
        <v>20</v>
      </c>
      <c r="E11" s="382"/>
      <c r="F11" s="380"/>
      <c r="G11" s="31">
        <v>20</v>
      </c>
      <c r="H11" s="382"/>
      <c r="I11" s="380"/>
      <c r="J11" s="31">
        <v>20</v>
      </c>
      <c r="K11" s="382"/>
      <c r="L11" s="380"/>
      <c r="M11" s="31">
        <v>20</v>
      </c>
      <c r="N11" s="382"/>
      <c r="O11" s="380"/>
      <c r="P11" s="31">
        <v>25</v>
      </c>
      <c r="Q11" s="382"/>
      <c r="R11" s="380"/>
      <c r="S11" s="31">
        <v>35</v>
      </c>
      <c r="T11" s="382"/>
      <c r="U11" s="395"/>
      <c r="V11" s="31">
        <v>35</v>
      </c>
      <c r="W11" s="382"/>
      <c r="X11" s="391"/>
    </row>
    <row r="12" spans="1:24" ht="15" customHeight="1" thickBot="1">
      <c r="A12" s="32"/>
      <c r="B12" s="396" t="s">
        <v>31</v>
      </c>
      <c r="C12" s="397"/>
      <c r="D12" s="33"/>
      <c r="E12" s="34">
        <f>E5+E6+E9+E10</f>
        <v>89</v>
      </c>
      <c r="F12" s="35">
        <f>F5+F6+F9+F10</f>
        <v>2148384.6153846155</v>
      </c>
      <c r="G12" s="36"/>
      <c r="H12" s="37">
        <f>H5+H6+H9+H10</f>
        <v>89</v>
      </c>
      <c r="I12" s="35">
        <f>I5+I6+I9+I10</f>
        <v>2148384.6153846155</v>
      </c>
      <c r="J12" s="36"/>
      <c r="K12" s="37">
        <f>K5+K6+K9+K10</f>
        <v>97</v>
      </c>
      <c r="L12" s="35">
        <f>L5+L6+L9+L10</f>
        <v>2456076.923076923</v>
      </c>
      <c r="M12" s="36"/>
      <c r="N12" s="37">
        <f>N5+N6+N9+N10</f>
        <v>89</v>
      </c>
      <c r="O12" s="35">
        <f>O5+O6+O9+O10</f>
        <v>2148384.6153846155</v>
      </c>
      <c r="P12" s="36"/>
      <c r="Q12" s="37">
        <f>Q5+Q6+Q9+Q10</f>
        <v>99</v>
      </c>
      <c r="R12" s="35">
        <f>R5+R6+R9+R10</f>
        <v>2358384.6153846155</v>
      </c>
      <c r="S12" s="36"/>
      <c r="T12" s="37">
        <f>T5+T6+T9+T10</f>
        <v>164</v>
      </c>
      <c r="U12" s="38">
        <f>U5+U6+U9+U10</f>
        <v>3863076.923076923</v>
      </c>
      <c r="V12" s="39"/>
      <c r="W12" s="37">
        <f>W5+W6+W9+W10</f>
        <v>164</v>
      </c>
      <c r="X12" s="40">
        <f>X5+X6+X9+X10</f>
        <v>3863076.923076923</v>
      </c>
    </row>
    <row r="13" spans="1:24" ht="15" customHeight="1">
      <c r="A13" s="41"/>
      <c r="B13" s="41"/>
      <c r="C13" s="41"/>
      <c r="D13" s="42"/>
      <c r="E13" s="43"/>
      <c r="F13" s="42"/>
      <c r="G13" s="44"/>
      <c r="H13" s="41"/>
      <c r="I13" s="45"/>
      <c r="J13" s="41"/>
      <c r="K13" s="41"/>
      <c r="L13" s="41"/>
      <c r="M13" s="41"/>
      <c r="N13" s="41"/>
      <c r="O13" s="41"/>
      <c r="P13" s="41"/>
      <c r="Q13" s="41"/>
      <c r="R13" s="41"/>
      <c r="S13" s="41"/>
      <c r="T13" s="41"/>
      <c r="U13" s="41"/>
      <c r="V13" s="41"/>
      <c r="W13" s="41"/>
      <c r="X13" s="41"/>
    </row>
    <row r="14" spans="1:24" ht="15" customHeight="1">
      <c r="A14" s="1"/>
      <c r="B14" s="1"/>
      <c r="C14" s="46" t="s">
        <v>12</v>
      </c>
      <c r="D14" s="47"/>
      <c r="E14" s="48" t="s">
        <v>32</v>
      </c>
      <c r="F14" s="48" t="s">
        <v>33</v>
      </c>
      <c r="G14" s="49" t="s">
        <v>34</v>
      </c>
      <c r="H14" s="1"/>
      <c r="I14" s="2"/>
      <c r="J14" s="1"/>
      <c r="K14" s="1"/>
      <c r="L14" s="1"/>
      <c r="M14" s="1"/>
      <c r="N14" s="1"/>
      <c r="O14" s="1"/>
      <c r="P14" s="1"/>
      <c r="Q14" s="1"/>
      <c r="R14" s="1"/>
      <c r="S14" s="1"/>
      <c r="T14" s="1"/>
      <c r="U14" s="1"/>
      <c r="V14" s="1"/>
      <c r="W14" s="1"/>
      <c r="X14" s="1"/>
    </row>
    <row r="15" spans="1:24" ht="15" customHeight="1">
      <c r="A15" s="1"/>
      <c r="B15" s="1" t="s">
        <v>10</v>
      </c>
      <c r="C15" s="2">
        <v>12000000</v>
      </c>
      <c r="D15" s="47"/>
      <c r="E15" s="47"/>
      <c r="F15" s="47"/>
      <c r="G15" s="47"/>
      <c r="H15" s="1"/>
      <c r="I15" s="2"/>
      <c r="J15" s="1"/>
      <c r="K15" s="1"/>
      <c r="L15" s="1"/>
      <c r="M15" s="1"/>
      <c r="N15" s="1"/>
      <c r="O15" s="1"/>
      <c r="P15" s="1"/>
      <c r="Q15" s="1"/>
      <c r="R15" s="1"/>
      <c r="S15" s="1"/>
      <c r="T15" s="1"/>
      <c r="U15" s="1"/>
      <c r="V15" s="1"/>
      <c r="W15" s="1"/>
      <c r="X15" s="1"/>
    </row>
    <row r="16" spans="1:24" ht="15" customHeight="1">
      <c r="A16" s="1"/>
      <c r="B16" s="1" t="s">
        <v>13</v>
      </c>
      <c r="C16" s="2">
        <v>6000000</v>
      </c>
      <c r="D16" s="47"/>
      <c r="E16" s="47"/>
      <c r="F16" s="47"/>
      <c r="G16" s="47"/>
      <c r="H16" s="1"/>
      <c r="I16" s="2"/>
      <c r="J16" s="1"/>
      <c r="K16" s="1"/>
      <c r="L16" s="1"/>
      <c r="M16" s="1"/>
      <c r="N16" s="1"/>
      <c r="O16" s="1"/>
      <c r="P16" s="1"/>
      <c r="Q16" s="1"/>
      <c r="R16" s="1"/>
      <c r="S16" s="1"/>
      <c r="T16" s="1"/>
      <c r="U16" s="1"/>
      <c r="V16" s="1"/>
      <c r="W16" s="1"/>
      <c r="X16" s="1"/>
    </row>
    <row r="17" spans="1:24" ht="15" customHeight="1">
      <c r="A17" s="1"/>
      <c r="B17" s="1" t="s">
        <v>13</v>
      </c>
      <c r="C17" s="2">
        <v>6000000</v>
      </c>
      <c r="D17" s="47"/>
      <c r="E17" s="2">
        <f>AVERAGE(C15:C17)</f>
        <v>8000000</v>
      </c>
      <c r="F17" s="47">
        <f>E17/26</f>
        <v>307692.30769230769</v>
      </c>
      <c r="G17" s="2">
        <f>F17/8</f>
        <v>38461.538461538461</v>
      </c>
      <c r="H17" s="1"/>
      <c r="I17" s="2"/>
      <c r="J17" s="1"/>
      <c r="K17" s="1"/>
      <c r="L17" s="1"/>
      <c r="M17" s="1"/>
      <c r="N17" s="1"/>
      <c r="O17" s="1"/>
      <c r="P17" s="1"/>
      <c r="Q17" s="1"/>
      <c r="R17" s="1"/>
      <c r="S17" s="1"/>
      <c r="T17" s="1"/>
      <c r="U17" s="1"/>
      <c r="V17" s="1"/>
      <c r="W17" s="1"/>
      <c r="X17" s="1"/>
    </row>
    <row r="18" spans="1:24" ht="15" customHeight="1">
      <c r="A18" s="1"/>
      <c r="B18" s="1"/>
      <c r="C18" s="1"/>
      <c r="D18" s="47"/>
      <c r="E18" s="47"/>
      <c r="F18" s="47"/>
      <c r="G18" s="47"/>
      <c r="H18" s="1"/>
      <c r="I18" s="2"/>
      <c r="J18" s="1"/>
      <c r="K18" s="1"/>
      <c r="L18" s="1"/>
      <c r="M18" s="1"/>
      <c r="N18" s="1"/>
      <c r="O18" s="1"/>
      <c r="P18" s="1"/>
      <c r="Q18" s="1"/>
      <c r="R18" s="1"/>
      <c r="S18" s="1"/>
      <c r="T18" s="1"/>
      <c r="U18" s="1"/>
      <c r="V18" s="1"/>
      <c r="W18" s="1"/>
      <c r="X18" s="1"/>
    </row>
    <row r="19" spans="1:24" ht="15" customHeight="1">
      <c r="A19" s="1"/>
      <c r="B19" s="1" t="s">
        <v>18</v>
      </c>
      <c r="C19" s="2">
        <v>22000</v>
      </c>
      <c r="D19" s="47"/>
      <c r="E19" s="47"/>
      <c r="F19" s="47"/>
      <c r="G19" s="47"/>
      <c r="H19" s="1"/>
      <c r="I19" s="2"/>
      <c r="J19" s="1"/>
      <c r="K19" s="1"/>
      <c r="L19" s="1"/>
      <c r="M19" s="1"/>
      <c r="N19" s="1"/>
      <c r="O19" s="1"/>
      <c r="P19" s="1"/>
      <c r="Q19" s="1"/>
      <c r="R19" s="1"/>
      <c r="S19" s="1"/>
      <c r="T19" s="1"/>
      <c r="U19" s="1"/>
      <c r="V19" s="1"/>
      <c r="W19" s="1"/>
      <c r="X19" s="1"/>
    </row>
    <row r="20" spans="1:24" ht="15" customHeight="1">
      <c r="A20" s="1"/>
      <c r="B20" s="1" t="s">
        <v>15</v>
      </c>
      <c r="C20" s="2">
        <v>21000</v>
      </c>
      <c r="D20" s="47"/>
      <c r="E20" s="47"/>
      <c r="F20" s="47"/>
      <c r="G20" s="47"/>
      <c r="H20" s="1"/>
      <c r="I20" s="2"/>
      <c r="J20" s="1"/>
      <c r="K20" s="1"/>
      <c r="L20" s="1"/>
      <c r="M20" s="1"/>
      <c r="N20" s="1"/>
      <c r="O20" s="1"/>
      <c r="P20" s="1"/>
      <c r="Q20" s="1"/>
      <c r="R20" s="1"/>
      <c r="S20" s="1"/>
      <c r="T20" s="1"/>
      <c r="U20" s="1"/>
      <c r="V20" s="1"/>
      <c r="W20" s="1"/>
      <c r="X20" s="1"/>
    </row>
    <row r="21" spans="1:24" ht="15" customHeight="1">
      <c r="A21" s="1"/>
      <c r="B21" s="1" t="s">
        <v>16</v>
      </c>
      <c r="C21" s="2">
        <v>20000</v>
      </c>
      <c r="D21" s="47"/>
      <c r="E21" s="2"/>
      <c r="F21" s="47"/>
      <c r="G21" s="2">
        <f>AVERAGE(C19:C21)</f>
        <v>21000</v>
      </c>
      <c r="H21" s="1"/>
      <c r="I21" s="2"/>
      <c r="J21" s="1"/>
      <c r="K21" s="1"/>
      <c r="L21" s="1"/>
      <c r="M21" s="1"/>
      <c r="N21" s="1"/>
      <c r="O21" s="1"/>
      <c r="P21" s="1"/>
      <c r="Q21" s="1"/>
      <c r="R21" s="1"/>
      <c r="S21" s="1"/>
      <c r="T21" s="1"/>
      <c r="U21" s="1"/>
      <c r="V21" s="1"/>
      <c r="W21" s="1"/>
      <c r="X21" s="1"/>
    </row>
    <row r="22" spans="1:24" ht="15" customHeight="1">
      <c r="A22" s="1"/>
      <c r="B22" s="1"/>
      <c r="C22" s="1"/>
      <c r="D22" s="47"/>
      <c r="E22" s="47"/>
      <c r="F22" s="47"/>
      <c r="G22" s="50"/>
      <c r="H22" s="1"/>
      <c r="I22" s="2"/>
      <c r="J22" s="1"/>
      <c r="K22" s="1"/>
      <c r="L22" s="1"/>
      <c r="M22" s="1"/>
      <c r="N22" s="1"/>
      <c r="O22" s="1"/>
      <c r="P22" s="1"/>
      <c r="Q22" s="1"/>
      <c r="R22" s="1"/>
      <c r="S22" s="1"/>
      <c r="T22" s="1"/>
      <c r="U22" s="1"/>
      <c r="V22" s="1"/>
      <c r="W22" s="1"/>
      <c r="X22" s="1"/>
    </row>
    <row r="23" spans="1:24" ht="15" customHeight="1">
      <c r="A23" s="1" t="s">
        <v>35</v>
      </c>
      <c r="B23" s="1"/>
      <c r="C23" s="51">
        <f>SUM(C25:C31)</f>
        <v>159000000</v>
      </c>
      <c r="D23" s="47"/>
      <c r="E23" s="47"/>
      <c r="F23" s="47"/>
      <c r="G23" s="50"/>
      <c r="H23" s="1"/>
      <c r="I23" s="2"/>
      <c r="J23" s="1"/>
      <c r="K23" s="1"/>
      <c r="L23" s="1"/>
      <c r="M23" s="1"/>
      <c r="N23" s="1"/>
      <c r="O23" s="1"/>
      <c r="P23" s="1"/>
      <c r="Q23" s="1"/>
      <c r="R23" s="1"/>
      <c r="S23" s="1"/>
      <c r="T23" s="1"/>
      <c r="U23" s="1"/>
      <c r="V23" s="1"/>
      <c r="W23" s="1"/>
      <c r="X23" s="1"/>
    </row>
    <row r="24" spans="1:24" ht="15" customHeight="1">
      <c r="A24" s="1"/>
      <c r="B24" s="1"/>
      <c r="C24" s="1"/>
      <c r="D24" s="47"/>
      <c r="E24" s="47"/>
      <c r="F24" s="47"/>
      <c r="G24" s="50"/>
      <c r="H24" s="1"/>
      <c r="I24" s="2"/>
      <c r="J24" s="1"/>
      <c r="K24" s="1"/>
      <c r="L24" s="1"/>
      <c r="M24" s="1"/>
      <c r="N24" s="1"/>
      <c r="O24" s="1"/>
      <c r="P24" s="1"/>
      <c r="Q24" s="1"/>
      <c r="R24" s="1"/>
      <c r="S24" s="1"/>
      <c r="T24" s="1"/>
      <c r="U24" s="1"/>
      <c r="V24" s="1"/>
      <c r="W24" s="1"/>
      <c r="X24" s="1"/>
    </row>
    <row r="25" spans="1:24" ht="15" customHeight="1">
      <c r="A25" s="1"/>
      <c r="B25" s="1" t="s">
        <v>1</v>
      </c>
      <c r="C25" s="2">
        <v>14000000</v>
      </c>
      <c r="D25" s="47"/>
      <c r="E25" s="47"/>
      <c r="F25" s="47"/>
      <c r="G25" s="50"/>
      <c r="H25" s="1"/>
      <c r="I25" s="2"/>
      <c r="J25" s="1"/>
      <c r="K25" s="1"/>
      <c r="L25" s="1"/>
      <c r="M25" s="1"/>
      <c r="N25" s="1"/>
      <c r="O25" s="1"/>
      <c r="P25" s="1"/>
      <c r="Q25" s="1"/>
      <c r="R25" s="1"/>
      <c r="S25" s="1"/>
      <c r="T25" s="1"/>
      <c r="U25" s="1"/>
      <c r="V25" s="1"/>
      <c r="W25" s="1"/>
      <c r="X25" s="1"/>
    </row>
    <row r="26" spans="1:24" ht="15" customHeight="1">
      <c r="A26" s="1"/>
      <c r="B26" s="1" t="s">
        <v>2</v>
      </c>
      <c r="C26" s="2">
        <v>15000000</v>
      </c>
      <c r="D26" s="47"/>
      <c r="E26" s="47"/>
      <c r="F26" s="47"/>
      <c r="G26" s="50"/>
      <c r="H26" s="1"/>
      <c r="I26" s="2"/>
      <c r="J26" s="1"/>
      <c r="K26" s="1"/>
      <c r="L26" s="1"/>
      <c r="M26" s="1"/>
      <c r="N26" s="1"/>
      <c r="O26" s="1"/>
      <c r="P26" s="1"/>
      <c r="Q26" s="1"/>
      <c r="R26" s="1"/>
      <c r="S26" s="1"/>
      <c r="T26" s="1"/>
      <c r="U26" s="1"/>
      <c r="V26" s="1"/>
      <c r="W26" s="1"/>
      <c r="X26" s="1"/>
    </row>
    <row r="27" spans="1:24" ht="15" customHeight="1">
      <c r="A27" s="1"/>
      <c r="B27" s="1" t="s">
        <v>3</v>
      </c>
      <c r="C27" s="2">
        <v>17000000</v>
      </c>
      <c r="D27" s="47"/>
      <c r="E27" s="47"/>
      <c r="F27" s="47"/>
      <c r="G27" s="50"/>
      <c r="H27" s="1"/>
      <c r="I27" s="2"/>
      <c r="J27" s="1"/>
      <c r="K27" s="1"/>
      <c r="L27" s="1"/>
      <c r="M27" s="1"/>
      <c r="N27" s="1"/>
      <c r="O27" s="1"/>
      <c r="P27" s="1"/>
      <c r="Q27" s="1"/>
      <c r="R27" s="1"/>
      <c r="S27" s="1"/>
      <c r="T27" s="1"/>
      <c r="U27" s="1"/>
      <c r="V27" s="1"/>
      <c r="W27" s="1"/>
      <c r="X27" s="1"/>
    </row>
    <row r="28" spans="1:24" ht="15" customHeight="1">
      <c r="A28" s="1"/>
      <c r="B28" s="1" t="s">
        <v>4</v>
      </c>
      <c r="C28" s="2">
        <v>15000000</v>
      </c>
      <c r="D28" s="47"/>
      <c r="E28" s="47"/>
      <c r="F28" s="47"/>
      <c r="G28" s="50"/>
      <c r="H28" s="1"/>
      <c r="I28" s="2"/>
      <c r="J28" s="1"/>
      <c r="K28" s="1"/>
      <c r="L28" s="1"/>
      <c r="M28" s="1"/>
      <c r="N28" s="1"/>
      <c r="O28" s="1"/>
      <c r="P28" s="1"/>
      <c r="Q28" s="1"/>
      <c r="R28" s="1"/>
      <c r="S28" s="1"/>
      <c r="T28" s="1"/>
      <c r="U28" s="1"/>
      <c r="V28" s="1"/>
      <c r="W28" s="1"/>
      <c r="X28" s="1"/>
    </row>
    <row r="29" spans="1:24" ht="15" customHeight="1">
      <c r="A29" s="1"/>
      <c r="B29" s="1" t="s">
        <v>5</v>
      </c>
      <c r="C29" s="2">
        <v>18000000</v>
      </c>
      <c r="D29" s="47"/>
      <c r="E29" s="47"/>
      <c r="F29" s="47"/>
      <c r="G29" s="50"/>
      <c r="H29" s="1"/>
      <c r="I29" s="2"/>
      <c r="J29" s="1"/>
      <c r="K29" s="1"/>
      <c r="L29" s="1"/>
      <c r="M29" s="1"/>
      <c r="N29" s="1"/>
      <c r="O29" s="1"/>
      <c r="P29" s="1"/>
      <c r="Q29" s="1"/>
      <c r="R29" s="1"/>
      <c r="S29" s="1"/>
      <c r="T29" s="1"/>
      <c r="U29" s="1"/>
      <c r="V29" s="1"/>
      <c r="W29" s="1"/>
      <c r="X29" s="1"/>
    </row>
    <row r="30" spans="1:24" ht="15" customHeight="1">
      <c r="A30" s="1"/>
      <c r="B30" s="1" t="s">
        <v>6</v>
      </c>
      <c r="C30" s="2">
        <v>40000000</v>
      </c>
      <c r="D30" s="47"/>
      <c r="E30" s="47"/>
      <c r="F30" s="47"/>
      <c r="G30" s="50"/>
      <c r="H30" s="1"/>
      <c r="I30" s="2"/>
      <c r="J30" s="1"/>
      <c r="K30" s="1"/>
      <c r="L30" s="1"/>
      <c r="M30" s="1"/>
      <c r="N30" s="1"/>
      <c r="O30" s="1"/>
      <c r="P30" s="1"/>
      <c r="Q30" s="1"/>
      <c r="R30" s="1"/>
      <c r="S30" s="1"/>
      <c r="T30" s="1"/>
      <c r="U30" s="1"/>
      <c r="V30" s="1"/>
      <c r="W30" s="1"/>
      <c r="X30" s="1"/>
    </row>
    <row r="31" spans="1:24" ht="15" customHeight="1">
      <c r="A31" s="1"/>
      <c r="B31" s="1" t="s">
        <v>7</v>
      </c>
      <c r="C31" s="2">
        <v>40000000</v>
      </c>
      <c r="D31" s="47"/>
      <c r="E31" s="47"/>
      <c r="F31" s="47"/>
      <c r="G31" s="50"/>
      <c r="H31" s="1"/>
      <c r="I31" s="2"/>
      <c r="J31" s="1"/>
      <c r="K31" s="1"/>
      <c r="L31" s="1"/>
      <c r="M31" s="1"/>
      <c r="N31" s="1"/>
      <c r="O31" s="1"/>
      <c r="P31" s="1"/>
      <c r="Q31" s="1"/>
      <c r="R31" s="1"/>
      <c r="S31" s="1"/>
      <c r="T31" s="1"/>
      <c r="U31" s="1"/>
      <c r="V31" s="1"/>
      <c r="W31" s="1"/>
      <c r="X31" s="1"/>
    </row>
    <row r="32" spans="1:24" ht="15" customHeight="1">
      <c r="A32" s="1"/>
      <c r="B32" s="1"/>
      <c r="C32" s="1"/>
      <c r="D32" s="47"/>
      <c r="E32" s="47"/>
      <c r="F32" s="47"/>
      <c r="G32" s="50"/>
      <c r="H32" s="1"/>
      <c r="I32" s="2"/>
      <c r="J32" s="1"/>
      <c r="K32" s="1"/>
      <c r="L32" s="1"/>
      <c r="M32" s="1"/>
      <c r="N32" s="1"/>
      <c r="O32" s="1"/>
      <c r="P32" s="1"/>
      <c r="Q32" s="1"/>
      <c r="R32" s="1"/>
      <c r="S32" s="1"/>
      <c r="T32" s="1"/>
      <c r="U32" s="1"/>
      <c r="V32" s="1"/>
      <c r="W32" s="1"/>
      <c r="X32" s="1"/>
    </row>
    <row r="33" spans="1:24" ht="15" customHeight="1">
      <c r="A33" s="1"/>
      <c r="B33" s="1"/>
      <c r="C33" s="1"/>
      <c r="D33" s="47"/>
      <c r="E33" s="47"/>
      <c r="F33" s="47"/>
      <c r="G33" s="50"/>
      <c r="H33" s="1"/>
      <c r="I33" s="2"/>
      <c r="J33" s="1"/>
      <c r="K33" s="1"/>
      <c r="L33" s="1"/>
      <c r="M33" s="1"/>
      <c r="N33" s="1"/>
      <c r="O33" s="1"/>
      <c r="P33" s="1"/>
      <c r="Q33" s="1"/>
      <c r="R33" s="1"/>
      <c r="S33" s="1"/>
      <c r="T33" s="1"/>
      <c r="U33" s="1"/>
      <c r="V33" s="1"/>
      <c r="W33" s="1"/>
      <c r="X33" s="1"/>
    </row>
    <row r="34" spans="1:24" ht="15" customHeight="1">
      <c r="A34" s="1"/>
      <c r="B34" s="1"/>
      <c r="C34" s="1"/>
      <c r="D34" s="47"/>
      <c r="E34" s="47"/>
      <c r="F34" s="47"/>
      <c r="G34" s="50"/>
      <c r="H34" s="1"/>
      <c r="I34" s="2"/>
      <c r="J34" s="1"/>
      <c r="K34" s="1"/>
      <c r="L34" s="1"/>
      <c r="M34" s="1"/>
      <c r="N34" s="1"/>
      <c r="O34" s="1"/>
      <c r="P34" s="1"/>
      <c r="Q34" s="1"/>
      <c r="R34" s="1"/>
      <c r="S34" s="1"/>
      <c r="T34" s="1"/>
      <c r="U34" s="1"/>
      <c r="V34" s="1"/>
      <c r="W34" s="1"/>
      <c r="X34" s="1"/>
    </row>
    <row r="35" spans="1:24" ht="15" customHeight="1">
      <c r="A35" s="1"/>
      <c r="B35" s="1"/>
      <c r="C35" s="1"/>
      <c r="D35" s="47"/>
      <c r="E35" s="47"/>
      <c r="F35" s="47"/>
      <c r="G35" s="50"/>
      <c r="H35" s="1"/>
      <c r="I35" s="2"/>
      <c r="J35" s="1"/>
      <c r="K35" s="1"/>
      <c r="L35" s="1"/>
      <c r="M35" s="1"/>
      <c r="N35" s="1"/>
      <c r="O35" s="1"/>
      <c r="P35" s="1"/>
      <c r="Q35" s="1"/>
      <c r="R35" s="1"/>
      <c r="S35" s="1"/>
      <c r="T35" s="1"/>
      <c r="U35" s="1"/>
      <c r="V35" s="1"/>
      <c r="W35" s="1"/>
      <c r="X35" s="1"/>
    </row>
    <row r="36" spans="1:24" ht="15" customHeight="1">
      <c r="A36" s="1"/>
      <c r="B36" s="1"/>
      <c r="C36" s="1"/>
      <c r="D36" s="47"/>
      <c r="E36" s="47"/>
      <c r="F36" s="47"/>
      <c r="G36" s="50"/>
      <c r="H36" s="1"/>
      <c r="I36" s="2"/>
      <c r="J36" s="1"/>
      <c r="K36" s="1"/>
      <c r="L36" s="1"/>
      <c r="M36" s="1"/>
      <c r="N36" s="1"/>
      <c r="O36" s="1"/>
      <c r="P36" s="1"/>
      <c r="Q36" s="1"/>
      <c r="R36" s="1"/>
      <c r="S36" s="1"/>
      <c r="T36" s="1"/>
      <c r="U36" s="1"/>
      <c r="V36" s="1"/>
      <c r="W36" s="1"/>
      <c r="X36" s="1"/>
    </row>
    <row r="37" spans="1:24" ht="15" customHeight="1">
      <c r="A37" s="1"/>
      <c r="B37" s="1"/>
      <c r="C37" s="1"/>
      <c r="D37" s="47"/>
      <c r="E37" s="47"/>
      <c r="F37" s="47"/>
      <c r="G37" s="50"/>
      <c r="H37" s="1"/>
      <c r="I37" s="2"/>
      <c r="J37" s="1"/>
      <c r="K37" s="1"/>
      <c r="L37" s="1"/>
      <c r="M37" s="1"/>
      <c r="N37" s="1"/>
      <c r="O37" s="1"/>
      <c r="P37" s="1"/>
      <c r="Q37" s="1"/>
      <c r="R37" s="1"/>
      <c r="S37" s="1"/>
      <c r="T37" s="1"/>
      <c r="U37" s="1"/>
      <c r="V37" s="1"/>
      <c r="W37" s="1"/>
      <c r="X37" s="1"/>
    </row>
    <row r="38" spans="1:24" ht="15" customHeight="1">
      <c r="A38" s="1"/>
      <c r="B38" s="1"/>
      <c r="C38" s="1"/>
      <c r="D38" s="47"/>
      <c r="E38" s="47"/>
      <c r="F38" s="47"/>
      <c r="G38" s="50"/>
      <c r="H38" s="1"/>
      <c r="I38" s="2"/>
      <c r="J38" s="1"/>
      <c r="K38" s="1"/>
      <c r="L38" s="1"/>
      <c r="M38" s="1"/>
      <c r="N38" s="1"/>
      <c r="O38" s="1"/>
      <c r="P38" s="1"/>
      <c r="Q38" s="1"/>
      <c r="R38" s="1"/>
      <c r="S38" s="1"/>
      <c r="T38" s="1"/>
      <c r="U38" s="1"/>
      <c r="V38" s="1"/>
      <c r="W38" s="1"/>
      <c r="X38" s="1"/>
    </row>
    <row r="39" spans="1:24" ht="15" customHeight="1">
      <c r="A39" s="1"/>
      <c r="B39" s="1"/>
      <c r="C39" s="1"/>
      <c r="D39" s="47"/>
      <c r="E39" s="47"/>
      <c r="F39" s="47"/>
      <c r="G39" s="50"/>
      <c r="H39" s="1"/>
      <c r="I39" s="2"/>
      <c r="J39" s="1"/>
      <c r="K39" s="1"/>
      <c r="L39" s="1"/>
      <c r="M39" s="1"/>
      <c r="N39" s="1"/>
      <c r="O39" s="1"/>
      <c r="P39" s="1"/>
      <c r="Q39" s="1"/>
      <c r="R39" s="1"/>
      <c r="S39" s="1"/>
      <c r="T39" s="1"/>
      <c r="U39" s="1"/>
      <c r="V39" s="1"/>
      <c r="W39" s="1"/>
      <c r="X39" s="1"/>
    </row>
    <row r="40" spans="1:24" ht="15" customHeight="1">
      <c r="A40" s="1"/>
      <c r="B40" s="1"/>
      <c r="C40" s="1"/>
      <c r="D40" s="47"/>
      <c r="E40" s="47"/>
      <c r="F40" s="47"/>
      <c r="G40" s="50"/>
      <c r="H40" s="1"/>
      <c r="I40" s="2"/>
      <c r="J40" s="1"/>
      <c r="K40" s="1"/>
      <c r="L40" s="1"/>
      <c r="M40" s="1"/>
      <c r="N40" s="1"/>
      <c r="O40" s="1"/>
      <c r="P40" s="1"/>
      <c r="Q40" s="1"/>
      <c r="R40" s="1"/>
      <c r="S40" s="1"/>
      <c r="T40" s="1"/>
      <c r="U40" s="1"/>
      <c r="V40" s="1"/>
      <c r="W40" s="1"/>
      <c r="X40" s="1"/>
    </row>
    <row r="41" spans="1:24" ht="15" customHeight="1">
      <c r="A41" s="1"/>
      <c r="B41" s="1"/>
      <c r="C41" s="1"/>
      <c r="D41" s="47"/>
      <c r="E41" s="47"/>
      <c r="F41" s="47"/>
      <c r="G41" s="50"/>
      <c r="H41" s="1"/>
      <c r="I41" s="2"/>
      <c r="J41" s="1"/>
      <c r="K41" s="1"/>
      <c r="L41" s="1"/>
      <c r="M41" s="1"/>
      <c r="N41" s="1"/>
      <c r="O41" s="1"/>
      <c r="P41" s="1"/>
      <c r="Q41" s="1"/>
      <c r="R41" s="1"/>
      <c r="S41" s="1"/>
      <c r="T41" s="1"/>
      <c r="U41" s="1"/>
      <c r="V41" s="1"/>
      <c r="W41" s="1"/>
      <c r="X41" s="1"/>
    </row>
    <row r="42" spans="1:24" ht="15" customHeight="1">
      <c r="A42" s="1"/>
      <c r="B42" s="1"/>
      <c r="C42" s="1"/>
      <c r="D42" s="47"/>
      <c r="E42" s="47"/>
      <c r="F42" s="47"/>
      <c r="G42" s="50"/>
      <c r="H42" s="1"/>
      <c r="I42" s="2"/>
      <c r="J42" s="1"/>
      <c r="K42" s="1"/>
      <c r="L42" s="1"/>
      <c r="M42" s="1"/>
      <c r="N42" s="1"/>
      <c r="O42" s="1"/>
      <c r="P42" s="1"/>
      <c r="Q42" s="1"/>
      <c r="R42" s="1"/>
      <c r="S42" s="1"/>
      <c r="T42" s="1"/>
      <c r="U42" s="1"/>
      <c r="V42" s="1"/>
      <c r="W42" s="1"/>
      <c r="X42" s="1"/>
    </row>
    <row r="43" spans="1:24" ht="15" customHeight="1">
      <c r="A43" s="1"/>
      <c r="B43" s="1"/>
      <c r="C43" s="1"/>
      <c r="D43" s="47"/>
      <c r="E43" s="47"/>
      <c r="F43" s="47"/>
      <c r="G43" s="50"/>
      <c r="H43" s="1"/>
      <c r="I43" s="2"/>
      <c r="J43" s="1"/>
      <c r="K43" s="1"/>
      <c r="L43" s="1"/>
      <c r="M43" s="1"/>
      <c r="N43" s="1"/>
      <c r="O43" s="1"/>
      <c r="P43" s="1"/>
      <c r="Q43" s="1"/>
      <c r="R43" s="1"/>
      <c r="S43" s="1"/>
      <c r="T43" s="1"/>
      <c r="U43" s="1"/>
      <c r="V43" s="1"/>
      <c r="W43" s="1"/>
      <c r="X43" s="1"/>
    </row>
    <row r="44" spans="1:24" ht="15" customHeight="1">
      <c r="A44" s="1"/>
      <c r="B44" s="1"/>
      <c r="C44" s="1"/>
      <c r="D44" s="47"/>
      <c r="E44" s="47"/>
      <c r="F44" s="47"/>
      <c r="G44" s="50"/>
      <c r="H44" s="1"/>
      <c r="I44" s="2"/>
      <c r="J44" s="1"/>
      <c r="K44" s="1"/>
      <c r="L44" s="1"/>
      <c r="M44" s="1"/>
      <c r="N44" s="1"/>
      <c r="O44" s="1"/>
      <c r="P44" s="1"/>
      <c r="Q44" s="1"/>
      <c r="R44" s="1"/>
      <c r="S44" s="1"/>
      <c r="T44" s="1"/>
      <c r="U44" s="1"/>
      <c r="V44" s="1"/>
      <c r="W44" s="1"/>
      <c r="X44" s="1"/>
    </row>
    <row r="45" spans="1:24" ht="15" customHeight="1">
      <c r="A45" s="1"/>
      <c r="B45" s="1"/>
      <c r="C45" s="1"/>
      <c r="D45" s="47"/>
      <c r="E45" s="47"/>
      <c r="F45" s="47"/>
      <c r="G45" s="50"/>
      <c r="H45" s="1"/>
      <c r="I45" s="2"/>
      <c r="J45" s="1"/>
      <c r="K45" s="1"/>
      <c r="L45" s="1"/>
      <c r="M45" s="1"/>
      <c r="N45" s="1"/>
      <c r="O45" s="1"/>
      <c r="P45" s="1"/>
      <c r="Q45" s="1"/>
      <c r="R45" s="1"/>
      <c r="S45" s="1"/>
      <c r="T45" s="1"/>
      <c r="U45" s="1"/>
      <c r="V45" s="1"/>
      <c r="W45" s="1"/>
      <c r="X45" s="1"/>
    </row>
  </sheetData>
  <mergeCells count="40">
    <mergeCell ref="B12:C12"/>
    <mergeCell ref="O10:O11"/>
    <mergeCell ref="Q10:Q11"/>
    <mergeCell ref="R10:R11"/>
    <mergeCell ref="T10:T11"/>
    <mergeCell ref="W6:W7"/>
    <mergeCell ref="X6:X7"/>
    <mergeCell ref="B9:B11"/>
    <mergeCell ref="E10:E11"/>
    <mergeCell ref="F10:F11"/>
    <mergeCell ref="H10:H11"/>
    <mergeCell ref="I10:I11"/>
    <mergeCell ref="K10:K11"/>
    <mergeCell ref="L10:L11"/>
    <mergeCell ref="X10:X11"/>
    <mergeCell ref="W10:W11"/>
    <mergeCell ref="N10:N11"/>
    <mergeCell ref="U10:U11"/>
    <mergeCell ref="Q6:Q7"/>
    <mergeCell ref="R6:R7"/>
    <mergeCell ref="T6:T7"/>
    <mergeCell ref="P3:R3"/>
    <mergeCell ref="S3:U3"/>
    <mergeCell ref="U6:U7"/>
    <mergeCell ref="V3:X3"/>
    <mergeCell ref="A5:A11"/>
    <mergeCell ref="B5:B7"/>
    <mergeCell ref="E6:E7"/>
    <mergeCell ref="F6:F7"/>
    <mergeCell ref="H6:H7"/>
    <mergeCell ref="I6:I7"/>
    <mergeCell ref="K6:K7"/>
    <mergeCell ref="L6:L7"/>
    <mergeCell ref="A3:B4"/>
    <mergeCell ref="N6:N7"/>
    <mergeCell ref="O6:O7"/>
    <mergeCell ref="D3:F3"/>
    <mergeCell ref="G3:I3"/>
    <mergeCell ref="J3:L3"/>
    <mergeCell ref="M3:O3"/>
  </mergeCells>
  <phoneticPr fontId="23" type="noConversion"/>
  <printOptions horizontalCentered="1" verticalCentered="1"/>
  <pageMargins left="0.24" right="0.16" top="0" bottom="0" header="0.196850393700787" footer="0"/>
  <pageSetup paperSize="9" scale="84" orientation="landscape"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H64"/>
  <sheetViews>
    <sheetView tabSelected="1" zoomScale="106" zoomScaleNormal="106" workbookViewId="0">
      <pane xSplit="3" ySplit="1" topLeftCell="D2" activePane="bottomRight" state="frozen"/>
      <selection pane="topRight" activeCell="F1" sqref="F1"/>
      <selection pane="bottomLeft" activeCell="A8" sqref="A8"/>
      <selection pane="bottomRight" activeCell="J2" sqref="J2"/>
    </sheetView>
  </sheetViews>
  <sheetFormatPr defaultColWidth="0" defaultRowHeight="12.75"/>
  <cols>
    <col min="1" max="1" width="7.75" style="278" customWidth="1"/>
    <col min="2" max="2" width="32.5" style="278" bestFit="1" customWidth="1"/>
    <col min="3" max="3" width="10.25" style="278" customWidth="1"/>
    <col min="4" max="4" width="6.25" style="292" customWidth="1"/>
    <col min="5" max="5" width="8.625" style="292" customWidth="1"/>
    <col min="6" max="7" width="7" style="292" customWidth="1"/>
    <col min="8" max="8" width="8.375" style="292" bestFit="1" customWidth="1"/>
    <col min="9" max="10" width="7" style="292" customWidth="1"/>
    <col min="11" max="11" width="17" style="292" customWidth="1"/>
    <col min="12" max="12" width="17" style="376" customWidth="1"/>
    <col min="13" max="14" width="17" style="292" customWidth="1"/>
    <col min="15" max="48" width="7" style="292" customWidth="1"/>
    <col min="49" max="49" width="7" style="278" customWidth="1"/>
    <col min="50" max="51" width="7" style="278" hidden="1" customWidth="1"/>
    <col min="52" max="53" width="7" style="251" hidden="1" customWidth="1"/>
    <col min="54" max="54" width="7.875" style="251" bestFit="1" customWidth="1"/>
    <col min="55" max="55" width="7" style="251" customWidth="1"/>
    <col min="56" max="16384" width="0" style="251" hidden="1"/>
  </cols>
  <sheetData>
    <row r="1" spans="1:242" s="183" customFormat="1" ht="25.5" customHeight="1">
      <c r="A1" s="281" t="s">
        <v>103</v>
      </c>
      <c r="B1" s="281" t="s">
        <v>493</v>
      </c>
      <c r="C1" s="281" t="s">
        <v>457</v>
      </c>
      <c r="D1" s="281" t="s">
        <v>0</v>
      </c>
      <c r="E1" s="281" t="s">
        <v>10</v>
      </c>
      <c r="F1" s="281" t="s">
        <v>282</v>
      </c>
      <c r="G1" s="281" t="s">
        <v>281</v>
      </c>
      <c r="H1" s="281" t="s">
        <v>107</v>
      </c>
      <c r="I1" s="281" t="s">
        <v>283</v>
      </c>
      <c r="J1" s="281" t="s">
        <v>495</v>
      </c>
      <c r="K1" s="281" t="s">
        <v>456</v>
      </c>
      <c r="L1" s="374" t="s">
        <v>494</v>
      </c>
      <c r="M1" s="281" t="s">
        <v>458</v>
      </c>
      <c r="N1" s="281" t="s">
        <v>463</v>
      </c>
      <c r="O1" s="355">
        <v>0.25</v>
      </c>
      <c r="P1" s="355">
        <f t="shared" ref="P1:AY1" si="0">O1+1/48</f>
        <v>0.27083333333333331</v>
      </c>
      <c r="Q1" s="355">
        <f t="shared" si="0"/>
        <v>0.29166666666666663</v>
      </c>
      <c r="R1" s="355">
        <f t="shared" si="0"/>
        <v>0.31249999999999994</v>
      </c>
      <c r="S1" s="355">
        <f t="shared" si="0"/>
        <v>0.33333333333333326</v>
      </c>
      <c r="T1" s="355">
        <f t="shared" si="0"/>
        <v>0.35416666666666657</v>
      </c>
      <c r="U1" s="355">
        <f t="shared" si="0"/>
        <v>0.37499999999999989</v>
      </c>
      <c r="V1" s="355">
        <f t="shared" si="0"/>
        <v>0.3958333333333332</v>
      </c>
      <c r="W1" s="355">
        <f t="shared" si="0"/>
        <v>0.41666666666666652</v>
      </c>
      <c r="X1" s="355">
        <f t="shared" si="0"/>
        <v>0.43749999999999983</v>
      </c>
      <c r="Y1" s="355">
        <f t="shared" si="0"/>
        <v>0.45833333333333315</v>
      </c>
      <c r="Z1" s="355">
        <f t="shared" si="0"/>
        <v>0.47916666666666646</v>
      </c>
      <c r="AA1" s="355">
        <f t="shared" si="0"/>
        <v>0.49999999999999978</v>
      </c>
      <c r="AB1" s="355">
        <f t="shared" si="0"/>
        <v>0.52083333333333315</v>
      </c>
      <c r="AC1" s="355">
        <f t="shared" si="0"/>
        <v>0.54166666666666652</v>
      </c>
      <c r="AD1" s="355">
        <f t="shared" si="0"/>
        <v>0.56249999999999989</v>
      </c>
      <c r="AE1" s="355">
        <f t="shared" si="0"/>
        <v>0.58333333333333326</v>
      </c>
      <c r="AF1" s="355">
        <f t="shared" si="0"/>
        <v>0.60416666666666663</v>
      </c>
      <c r="AG1" s="355">
        <f t="shared" si="0"/>
        <v>0.625</v>
      </c>
      <c r="AH1" s="355">
        <f t="shared" si="0"/>
        <v>0.64583333333333337</v>
      </c>
      <c r="AI1" s="355">
        <f t="shared" si="0"/>
        <v>0.66666666666666674</v>
      </c>
      <c r="AJ1" s="355">
        <f t="shared" si="0"/>
        <v>0.68750000000000011</v>
      </c>
      <c r="AK1" s="355">
        <f t="shared" si="0"/>
        <v>0.70833333333333348</v>
      </c>
      <c r="AL1" s="355">
        <f t="shared" si="0"/>
        <v>0.72916666666666685</v>
      </c>
      <c r="AM1" s="355">
        <f t="shared" si="0"/>
        <v>0.75000000000000022</v>
      </c>
      <c r="AN1" s="355">
        <f t="shared" si="0"/>
        <v>0.77083333333333359</v>
      </c>
      <c r="AO1" s="355">
        <f t="shared" si="0"/>
        <v>0.79166666666666696</v>
      </c>
      <c r="AP1" s="355">
        <f t="shared" si="0"/>
        <v>0.81250000000000033</v>
      </c>
      <c r="AQ1" s="355">
        <f t="shared" si="0"/>
        <v>0.8333333333333337</v>
      </c>
      <c r="AR1" s="355">
        <f t="shared" si="0"/>
        <v>0.85416666666666707</v>
      </c>
      <c r="AS1" s="355">
        <f t="shared" si="0"/>
        <v>0.87500000000000044</v>
      </c>
      <c r="AT1" s="355">
        <f t="shared" si="0"/>
        <v>0.89583333333333381</v>
      </c>
      <c r="AU1" s="355">
        <f t="shared" si="0"/>
        <v>0.91666666666666718</v>
      </c>
      <c r="AV1" s="355">
        <f t="shared" si="0"/>
        <v>0.93750000000000056</v>
      </c>
      <c r="AW1" s="355">
        <f t="shared" si="0"/>
        <v>0.95833333333333393</v>
      </c>
      <c r="AX1" s="355">
        <f t="shared" si="0"/>
        <v>0.9791666666666673</v>
      </c>
      <c r="AY1" s="355">
        <f t="shared" si="0"/>
        <v>1.0000000000000007</v>
      </c>
      <c r="AZ1" s="355"/>
      <c r="BA1" s="355"/>
      <c r="BB1" s="281" t="s">
        <v>351</v>
      </c>
      <c r="BC1" s="281" t="s">
        <v>352</v>
      </c>
      <c r="BD1" s="281" t="s">
        <v>351</v>
      </c>
      <c r="BE1" s="281" t="s">
        <v>351</v>
      </c>
      <c r="BF1" s="281" t="s">
        <v>351</v>
      </c>
      <c r="BG1" s="281" t="s">
        <v>351</v>
      </c>
      <c r="BH1" s="281" t="s">
        <v>351</v>
      </c>
      <c r="BI1" s="281" t="s">
        <v>351</v>
      </c>
      <c r="BJ1" s="281" t="s">
        <v>351</v>
      </c>
      <c r="BK1" s="281" t="s">
        <v>351</v>
      </c>
      <c r="BL1" s="281" t="s">
        <v>351</v>
      </c>
      <c r="BM1" s="281" t="s">
        <v>351</v>
      </c>
      <c r="BN1" s="281" t="s">
        <v>351</v>
      </c>
      <c r="BO1" s="281" t="s">
        <v>351</v>
      </c>
      <c r="BP1" s="281" t="s">
        <v>351</v>
      </c>
      <c r="BQ1" s="281" t="s">
        <v>351</v>
      </c>
      <c r="BR1" s="281" t="s">
        <v>351</v>
      </c>
      <c r="BS1" s="281" t="s">
        <v>351</v>
      </c>
      <c r="BT1" s="281" t="s">
        <v>351</v>
      </c>
      <c r="BU1" s="281" t="s">
        <v>351</v>
      </c>
      <c r="BV1" s="281" t="s">
        <v>351</v>
      </c>
      <c r="BW1" s="281" t="s">
        <v>351</v>
      </c>
      <c r="BX1" s="281" t="s">
        <v>351</v>
      </c>
      <c r="BY1" s="281" t="s">
        <v>351</v>
      </c>
      <c r="BZ1" s="281" t="s">
        <v>351</v>
      </c>
      <c r="CA1" s="281" t="s">
        <v>351</v>
      </c>
      <c r="CB1" s="281" t="s">
        <v>351</v>
      </c>
      <c r="CC1" s="281" t="s">
        <v>351</v>
      </c>
      <c r="CD1" s="281" t="s">
        <v>351</v>
      </c>
      <c r="CE1" s="281" t="s">
        <v>351</v>
      </c>
      <c r="CF1" s="281" t="s">
        <v>351</v>
      </c>
      <c r="CG1" s="281" t="s">
        <v>351</v>
      </c>
      <c r="CH1" s="281" t="s">
        <v>351</v>
      </c>
      <c r="CI1" s="281" t="s">
        <v>351</v>
      </c>
      <c r="CJ1" s="281" t="s">
        <v>351</v>
      </c>
      <c r="CK1" s="281" t="s">
        <v>351</v>
      </c>
      <c r="CL1" s="281" t="s">
        <v>351</v>
      </c>
      <c r="CM1" s="281" t="s">
        <v>351</v>
      </c>
      <c r="CN1" s="281" t="s">
        <v>351</v>
      </c>
      <c r="CO1" s="281" t="s">
        <v>351</v>
      </c>
      <c r="CP1" s="281" t="s">
        <v>351</v>
      </c>
      <c r="CQ1" s="281" t="s">
        <v>351</v>
      </c>
      <c r="CR1" s="281" t="s">
        <v>351</v>
      </c>
      <c r="CS1" s="281" t="s">
        <v>351</v>
      </c>
      <c r="CT1" s="281" t="s">
        <v>351</v>
      </c>
      <c r="CU1" s="281" t="s">
        <v>351</v>
      </c>
      <c r="CV1" s="281" t="s">
        <v>351</v>
      </c>
      <c r="CW1" s="281" t="s">
        <v>351</v>
      </c>
      <c r="CX1" s="281" t="s">
        <v>351</v>
      </c>
      <c r="CY1" s="281" t="s">
        <v>351</v>
      </c>
      <c r="CZ1" s="281" t="s">
        <v>351</v>
      </c>
      <c r="DA1" s="281" t="s">
        <v>351</v>
      </c>
      <c r="DB1" s="281" t="s">
        <v>351</v>
      </c>
      <c r="DC1" s="281" t="s">
        <v>351</v>
      </c>
      <c r="DD1" s="281" t="s">
        <v>351</v>
      </c>
      <c r="DE1" s="281" t="s">
        <v>351</v>
      </c>
      <c r="DF1" s="281" t="s">
        <v>351</v>
      </c>
      <c r="DG1" s="281" t="s">
        <v>351</v>
      </c>
      <c r="DH1" s="281" t="s">
        <v>351</v>
      </c>
      <c r="DI1" s="281" t="s">
        <v>351</v>
      </c>
      <c r="DJ1" s="281" t="s">
        <v>351</v>
      </c>
      <c r="DK1" s="281" t="s">
        <v>351</v>
      </c>
      <c r="DL1" s="281" t="s">
        <v>351</v>
      </c>
      <c r="DM1" s="281" t="s">
        <v>351</v>
      </c>
      <c r="DN1" s="281" t="s">
        <v>351</v>
      </c>
      <c r="DO1" s="281" t="s">
        <v>351</v>
      </c>
      <c r="DP1" s="281" t="s">
        <v>351</v>
      </c>
      <c r="DQ1" s="281" t="s">
        <v>351</v>
      </c>
      <c r="DR1" s="281" t="s">
        <v>351</v>
      </c>
      <c r="DS1" s="281" t="s">
        <v>351</v>
      </c>
      <c r="DT1" s="281" t="s">
        <v>351</v>
      </c>
      <c r="DU1" s="281" t="s">
        <v>351</v>
      </c>
      <c r="DV1" s="281" t="s">
        <v>351</v>
      </c>
      <c r="DW1" s="281" t="s">
        <v>351</v>
      </c>
      <c r="DX1" s="281" t="s">
        <v>351</v>
      </c>
      <c r="DY1" s="281" t="s">
        <v>351</v>
      </c>
      <c r="DZ1" s="281" t="s">
        <v>351</v>
      </c>
      <c r="EA1" s="281" t="s">
        <v>351</v>
      </c>
      <c r="EB1" s="281" t="s">
        <v>351</v>
      </c>
      <c r="EC1" s="281" t="s">
        <v>351</v>
      </c>
      <c r="ED1" s="281" t="s">
        <v>351</v>
      </c>
      <c r="EE1" s="281" t="s">
        <v>351</v>
      </c>
      <c r="EF1" s="281" t="s">
        <v>351</v>
      </c>
      <c r="EG1" s="281" t="s">
        <v>351</v>
      </c>
      <c r="EH1" s="281" t="s">
        <v>351</v>
      </c>
      <c r="EI1" s="281" t="s">
        <v>351</v>
      </c>
      <c r="EJ1" s="281" t="s">
        <v>351</v>
      </c>
      <c r="EK1" s="281" t="s">
        <v>351</v>
      </c>
      <c r="EL1" s="281" t="s">
        <v>351</v>
      </c>
      <c r="EM1" s="281" t="s">
        <v>351</v>
      </c>
      <c r="EN1" s="281" t="s">
        <v>351</v>
      </c>
      <c r="EO1" s="281" t="s">
        <v>351</v>
      </c>
      <c r="EP1" s="281" t="s">
        <v>351</v>
      </c>
      <c r="EQ1" s="281" t="s">
        <v>351</v>
      </c>
      <c r="ER1" s="281" t="s">
        <v>351</v>
      </c>
      <c r="ES1" s="281" t="s">
        <v>351</v>
      </c>
      <c r="ET1" s="281" t="s">
        <v>351</v>
      </c>
      <c r="EU1" s="281" t="s">
        <v>351</v>
      </c>
      <c r="EV1" s="281" t="s">
        <v>351</v>
      </c>
      <c r="EW1" s="281" t="s">
        <v>351</v>
      </c>
      <c r="EX1" s="281" t="s">
        <v>351</v>
      </c>
      <c r="EY1" s="281" t="s">
        <v>351</v>
      </c>
      <c r="EZ1" s="281" t="s">
        <v>351</v>
      </c>
      <c r="FA1" s="281" t="s">
        <v>351</v>
      </c>
      <c r="FB1" s="281" t="s">
        <v>351</v>
      </c>
      <c r="FC1" s="281" t="s">
        <v>351</v>
      </c>
      <c r="FD1" s="281" t="s">
        <v>351</v>
      </c>
      <c r="FE1" s="281" t="s">
        <v>351</v>
      </c>
      <c r="FF1" s="281" t="s">
        <v>351</v>
      </c>
      <c r="FG1" s="281" t="s">
        <v>351</v>
      </c>
      <c r="FH1" s="281" t="s">
        <v>351</v>
      </c>
      <c r="FI1" s="281" t="s">
        <v>351</v>
      </c>
      <c r="FJ1" s="281" t="s">
        <v>351</v>
      </c>
      <c r="FK1" s="281" t="s">
        <v>351</v>
      </c>
      <c r="FL1" s="281" t="s">
        <v>351</v>
      </c>
      <c r="FM1" s="281" t="s">
        <v>351</v>
      </c>
      <c r="FN1" s="281" t="s">
        <v>351</v>
      </c>
      <c r="FO1" s="281" t="s">
        <v>351</v>
      </c>
      <c r="FP1" s="281" t="s">
        <v>351</v>
      </c>
      <c r="FQ1" s="281" t="s">
        <v>351</v>
      </c>
      <c r="FR1" s="281" t="s">
        <v>351</v>
      </c>
      <c r="FS1" s="281" t="s">
        <v>351</v>
      </c>
      <c r="FT1" s="281" t="s">
        <v>351</v>
      </c>
      <c r="FU1" s="281" t="s">
        <v>351</v>
      </c>
      <c r="FV1" s="281" t="s">
        <v>351</v>
      </c>
      <c r="FW1" s="281" t="s">
        <v>351</v>
      </c>
      <c r="FX1" s="281" t="s">
        <v>351</v>
      </c>
      <c r="FY1" s="281" t="s">
        <v>351</v>
      </c>
      <c r="FZ1" s="281" t="s">
        <v>351</v>
      </c>
      <c r="GA1" s="281" t="s">
        <v>351</v>
      </c>
      <c r="GB1" s="281" t="s">
        <v>351</v>
      </c>
      <c r="GC1" s="281" t="s">
        <v>351</v>
      </c>
      <c r="GD1" s="281" t="s">
        <v>351</v>
      </c>
      <c r="GE1" s="281" t="s">
        <v>351</v>
      </c>
      <c r="GF1" s="281" t="s">
        <v>351</v>
      </c>
      <c r="GG1" s="281" t="s">
        <v>351</v>
      </c>
      <c r="GH1" s="281" t="s">
        <v>351</v>
      </c>
      <c r="GI1" s="281" t="s">
        <v>351</v>
      </c>
      <c r="GJ1" s="281" t="s">
        <v>351</v>
      </c>
      <c r="GK1" s="281" t="s">
        <v>351</v>
      </c>
      <c r="GL1" s="281" t="s">
        <v>351</v>
      </c>
      <c r="GM1" s="281" t="s">
        <v>351</v>
      </c>
      <c r="GN1" s="281" t="s">
        <v>351</v>
      </c>
      <c r="GO1" s="281" t="s">
        <v>351</v>
      </c>
      <c r="GP1" s="281" t="s">
        <v>351</v>
      </c>
      <c r="GQ1" s="281" t="s">
        <v>351</v>
      </c>
      <c r="GR1" s="281" t="s">
        <v>351</v>
      </c>
      <c r="GS1" s="281" t="s">
        <v>351</v>
      </c>
      <c r="GT1" s="281" t="s">
        <v>351</v>
      </c>
      <c r="GU1" s="281" t="s">
        <v>351</v>
      </c>
      <c r="GV1" s="281" t="s">
        <v>351</v>
      </c>
      <c r="GW1" s="281" t="s">
        <v>351</v>
      </c>
      <c r="GX1" s="281" t="s">
        <v>351</v>
      </c>
      <c r="GY1" s="281" t="s">
        <v>351</v>
      </c>
      <c r="GZ1" s="281" t="s">
        <v>351</v>
      </c>
      <c r="HA1" s="281" t="s">
        <v>351</v>
      </c>
      <c r="HB1" s="281" t="s">
        <v>351</v>
      </c>
      <c r="HC1" s="281" t="s">
        <v>351</v>
      </c>
      <c r="HD1" s="281" t="s">
        <v>351</v>
      </c>
      <c r="HE1" s="281" t="s">
        <v>351</v>
      </c>
      <c r="HF1" s="281" t="s">
        <v>351</v>
      </c>
      <c r="HG1" s="281" t="s">
        <v>351</v>
      </c>
      <c r="HH1" s="281" t="s">
        <v>351</v>
      </c>
      <c r="HI1" s="281" t="s">
        <v>351</v>
      </c>
      <c r="HJ1" s="281" t="s">
        <v>351</v>
      </c>
      <c r="HK1" s="281" t="s">
        <v>351</v>
      </c>
      <c r="HL1" s="281" t="s">
        <v>351</v>
      </c>
      <c r="HM1" s="281" t="s">
        <v>351</v>
      </c>
      <c r="HN1" s="281" t="s">
        <v>351</v>
      </c>
      <c r="HO1" s="281" t="s">
        <v>351</v>
      </c>
      <c r="HP1" s="281" t="s">
        <v>351</v>
      </c>
      <c r="HQ1" s="281" t="s">
        <v>351</v>
      </c>
      <c r="HR1" s="281" t="s">
        <v>351</v>
      </c>
      <c r="HS1" s="281" t="s">
        <v>351</v>
      </c>
      <c r="HT1" s="281" t="s">
        <v>351</v>
      </c>
      <c r="HU1" s="281" t="s">
        <v>351</v>
      </c>
      <c r="HV1" s="281" t="s">
        <v>351</v>
      </c>
      <c r="HW1" s="281" t="s">
        <v>351</v>
      </c>
      <c r="HX1" s="281" t="s">
        <v>351</v>
      </c>
      <c r="HY1" s="281" t="s">
        <v>351</v>
      </c>
      <c r="HZ1" s="281" t="s">
        <v>351</v>
      </c>
      <c r="IA1" s="281" t="s">
        <v>351</v>
      </c>
      <c r="IB1" s="281" t="s">
        <v>351</v>
      </c>
      <c r="IC1" s="281" t="s">
        <v>351</v>
      </c>
      <c r="ID1" s="281" t="s">
        <v>351</v>
      </c>
      <c r="IE1" s="281" t="s">
        <v>351</v>
      </c>
      <c r="IF1" s="281" t="s">
        <v>351</v>
      </c>
      <c r="IG1" s="281" t="s">
        <v>351</v>
      </c>
      <c r="IH1" s="281" t="s">
        <v>351</v>
      </c>
    </row>
    <row r="2" spans="1:242">
      <c r="A2" s="356" t="s">
        <v>348</v>
      </c>
      <c r="B2" s="357" t="s">
        <v>280</v>
      </c>
      <c r="C2" s="356" t="s">
        <v>122</v>
      </c>
      <c r="D2" s="358" t="s">
        <v>129</v>
      </c>
      <c r="E2" s="359"/>
      <c r="F2" s="359">
        <v>1</v>
      </c>
      <c r="G2" s="359"/>
      <c r="H2" s="359"/>
      <c r="I2" s="359"/>
      <c r="J2" s="359">
        <v>1</v>
      </c>
      <c r="K2" s="370">
        <v>0.33333333333333331</v>
      </c>
      <c r="L2" s="368">
        <v>0</v>
      </c>
      <c r="M2" s="368">
        <f t="shared" ref="M2:M33" si="1">BB2</f>
        <v>5</v>
      </c>
      <c r="N2" s="370">
        <v>0.33680555555555558</v>
      </c>
      <c r="O2" s="359"/>
      <c r="P2" s="359"/>
      <c r="Q2" s="359"/>
      <c r="R2" s="359"/>
      <c r="S2" s="359">
        <v>5</v>
      </c>
      <c r="T2" s="359"/>
      <c r="U2" s="359"/>
      <c r="V2" s="359"/>
      <c r="W2" s="359"/>
      <c r="X2" s="359"/>
      <c r="Y2" s="359"/>
      <c r="Z2" s="359"/>
      <c r="AA2" s="359"/>
      <c r="AB2" s="359"/>
      <c r="AC2" s="359"/>
      <c r="AD2" s="359"/>
      <c r="AE2" s="359"/>
      <c r="AF2" s="359"/>
      <c r="AG2" s="359"/>
      <c r="AH2" s="359"/>
      <c r="AI2" s="359"/>
      <c r="AJ2" s="359"/>
      <c r="AK2" s="359"/>
      <c r="AL2" s="359"/>
      <c r="AM2" s="359"/>
      <c r="AN2" s="359"/>
      <c r="AO2" s="359"/>
      <c r="AP2" s="359"/>
      <c r="AQ2" s="359"/>
      <c r="AR2" s="359"/>
      <c r="AS2" s="359"/>
      <c r="AT2" s="359"/>
      <c r="AU2" s="359"/>
      <c r="AV2" s="359"/>
      <c r="AW2" s="356"/>
      <c r="AX2" s="360"/>
      <c r="AY2" s="360"/>
      <c r="AZ2" s="289"/>
      <c r="BA2" s="361"/>
      <c r="BB2" s="290">
        <f>SUM(O2:BA2)</f>
        <v>5</v>
      </c>
      <c r="BC2" s="290">
        <f>BB2/60</f>
        <v>8.3333333333333329E-2</v>
      </c>
    </row>
    <row r="3" spans="1:242">
      <c r="A3" s="362" t="s">
        <v>8</v>
      </c>
      <c r="B3" s="363" t="s">
        <v>462</v>
      </c>
      <c r="C3" s="362" t="s">
        <v>122</v>
      </c>
      <c r="D3" s="364" t="s">
        <v>129</v>
      </c>
      <c r="E3" s="365"/>
      <c r="F3" s="365">
        <v>1</v>
      </c>
      <c r="G3" s="365"/>
      <c r="H3" s="365"/>
      <c r="I3" s="365"/>
      <c r="J3" s="365">
        <v>1</v>
      </c>
      <c r="K3" s="373">
        <v>0.33333333333333331</v>
      </c>
      <c r="L3" s="375">
        <f>K3-K2</f>
        <v>0</v>
      </c>
      <c r="M3" s="368">
        <f t="shared" si="1"/>
        <v>100</v>
      </c>
      <c r="N3" s="369">
        <v>0.40277777777777773</v>
      </c>
      <c r="O3" s="365"/>
      <c r="P3" s="365"/>
      <c r="Q3" s="365"/>
      <c r="R3" s="365"/>
      <c r="S3" s="365">
        <v>30</v>
      </c>
      <c r="T3" s="365">
        <v>50</v>
      </c>
      <c r="U3" s="365">
        <v>10</v>
      </c>
      <c r="V3" s="365">
        <v>5</v>
      </c>
      <c r="W3" s="365">
        <v>5</v>
      </c>
      <c r="X3" s="365"/>
      <c r="Y3" s="365"/>
      <c r="Z3" s="365"/>
      <c r="AA3" s="365"/>
      <c r="AB3" s="365"/>
      <c r="AC3" s="365"/>
      <c r="AD3" s="365"/>
      <c r="AE3" s="365"/>
      <c r="AF3" s="365"/>
      <c r="AG3" s="365"/>
      <c r="AH3" s="365"/>
      <c r="AI3" s="365"/>
      <c r="AJ3" s="365"/>
      <c r="AK3" s="365"/>
      <c r="AL3" s="365"/>
      <c r="AM3" s="365"/>
      <c r="AN3" s="365"/>
      <c r="AO3" s="365"/>
      <c r="AP3" s="365"/>
      <c r="AQ3" s="365"/>
      <c r="AR3" s="365"/>
      <c r="AS3" s="365"/>
      <c r="AT3" s="365"/>
      <c r="AU3" s="365"/>
      <c r="AV3" s="365"/>
      <c r="AW3" s="362"/>
      <c r="AX3" s="366"/>
      <c r="AY3" s="366"/>
      <c r="AZ3" s="289"/>
      <c r="BA3" s="367"/>
      <c r="BB3" s="290">
        <f t="shared" ref="BB3:BB63" si="2">SUM(O3:BA3)</f>
        <v>100</v>
      </c>
      <c r="BC3" s="290">
        <f t="shared" ref="BC3:BC63" si="3">BB3/60</f>
        <v>1.6666666666666667</v>
      </c>
    </row>
    <row r="4" spans="1:242">
      <c r="A4" s="362" t="s">
        <v>8</v>
      </c>
      <c r="B4" s="363" t="s">
        <v>331</v>
      </c>
      <c r="C4" s="362" t="s">
        <v>122</v>
      </c>
      <c r="D4" s="364" t="s">
        <v>129</v>
      </c>
      <c r="E4" s="365"/>
      <c r="F4" s="365">
        <v>1</v>
      </c>
      <c r="G4" s="365">
        <v>1</v>
      </c>
      <c r="H4" s="365"/>
      <c r="I4" s="365"/>
      <c r="J4" s="365">
        <v>1</v>
      </c>
      <c r="K4" s="373">
        <v>0.33680555555555558</v>
      </c>
      <c r="L4" s="375">
        <f>(K4-K3)*48*30</f>
        <v>5.0000000000000622</v>
      </c>
      <c r="M4" s="368">
        <f t="shared" si="1"/>
        <v>15</v>
      </c>
      <c r="N4" s="369">
        <v>0.34722222222222227</v>
      </c>
      <c r="O4" s="365"/>
      <c r="P4" s="365"/>
      <c r="Q4" s="365"/>
      <c r="R4" s="365"/>
      <c r="S4" s="365">
        <v>15</v>
      </c>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2"/>
      <c r="AX4" s="366"/>
      <c r="AY4" s="366"/>
      <c r="AZ4" s="289"/>
      <c r="BA4" s="367"/>
      <c r="BB4" s="290">
        <f t="shared" ref="BB4" si="4">SUM(O4:BA4)</f>
        <v>15</v>
      </c>
      <c r="BC4" s="290">
        <f t="shared" ref="BC4" si="5">BB4/60</f>
        <v>0.25</v>
      </c>
    </row>
    <row r="5" spans="1:242">
      <c r="A5" s="362" t="s">
        <v>348</v>
      </c>
      <c r="B5" s="363" t="s">
        <v>490</v>
      </c>
      <c r="C5" s="362" t="s">
        <v>122</v>
      </c>
      <c r="D5" s="364" t="s">
        <v>129</v>
      </c>
      <c r="E5" s="365"/>
      <c r="F5" s="365">
        <v>1</v>
      </c>
      <c r="G5" s="365"/>
      <c r="H5" s="365"/>
      <c r="I5" s="365"/>
      <c r="J5" s="365"/>
      <c r="K5" s="373">
        <v>0.34722222222222227</v>
      </c>
      <c r="L5" s="375">
        <f>(K5-K4)*48*30</f>
        <v>15.000000000000027</v>
      </c>
      <c r="M5" s="368">
        <f t="shared" si="1"/>
        <v>10</v>
      </c>
      <c r="N5" s="369">
        <v>0.35416666666666669</v>
      </c>
      <c r="O5" s="365"/>
      <c r="P5" s="365"/>
      <c r="Q5" s="365"/>
      <c r="R5" s="365"/>
      <c r="S5" s="365">
        <v>10</v>
      </c>
      <c r="T5" s="365"/>
      <c r="U5" s="365"/>
      <c r="V5" s="365"/>
      <c r="W5" s="365"/>
      <c r="X5" s="365"/>
      <c r="Y5" s="365"/>
      <c r="Z5" s="365"/>
      <c r="AA5" s="365"/>
      <c r="AB5" s="365"/>
      <c r="AC5" s="365"/>
      <c r="AD5" s="365"/>
      <c r="AE5" s="365"/>
      <c r="AF5" s="365"/>
      <c r="AG5" s="365"/>
      <c r="AH5" s="365"/>
      <c r="AI5" s="365"/>
      <c r="AJ5" s="365"/>
      <c r="AK5" s="365"/>
      <c r="AL5" s="365"/>
      <c r="AM5" s="365"/>
      <c r="AN5" s="365"/>
      <c r="AO5" s="365"/>
      <c r="AP5" s="365"/>
      <c r="AQ5" s="365"/>
      <c r="AR5" s="365"/>
      <c r="AS5" s="365"/>
      <c r="AT5" s="365"/>
      <c r="AU5" s="365"/>
      <c r="AV5" s="365"/>
      <c r="AW5" s="362"/>
      <c r="AX5" s="366"/>
      <c r="AY5" s="366"/>
      <c r="AZ5" s="289"/>
      <c r="BA5" s="367"/>
      <c r="BB5" s="290">
        <f t="shared" si="2"/>
        <v>10</v>
      </c>
      <c r="BC5" s="290">
        <f t="shared" si="3"/>
        <v>0.16666666666666666</v>
      </c>
    </row>
    <row r="6" spans="1:242">
      <c r="A6" s="362" t="s">
        <v>44</v>
      </c>
      <c r="B6" s="363" t="s">
        <v>154</v>
      </c>
      <c r="C6" s="362" t="s">
        <v>338</v>
      </c>
      <c r="D6" s="364" t="s">
        <v>292</v>
      </c>
      <c r="E6" s="365">
        <v>1</v>
      </c>
      <c r="F6" s="365">
        <v>1</v>
      </c>
      <c r="G6" s="365">
        <v>1</v>
      </c>
      <c r="H6" s="365"/>
      <c r="I6" s="365"/>
      <c r="J6" s="365"/>
      <c r="K6" s="373">
        <v>0.35416666666666669</v>
      </c>
      <c r="L6" s="375">
        <f>(K6-K5)*48*30</f>
        <v>9.9999999999999645</v>
      </c>
      <c r="M6" s="368">
        <f t="shared" si="1"/>
        <v>10</v>
      </c>
      <c r="N6" s="369">
        <v>0.3611111111111111</v>
      </c>
      <c r="O6" s="365"/>
      <c r="P6" s="365"/>
      <c r="Q6" s="365"/>
      <c r="R6" s="365"/>
      <c r="S6" s="365"/>
      <c r="T6" s="365">
        <v>10</v>
      </c>
      <c r="U6" s="365"/>
      <c r="V6" s="365"/>
      <c r="W6" s="365"/>
      <c r="X6" s="365"/>
      <c r="Y6" s="365"/>
      <c r="Z6" s="365"/>
      <c r="AA6" s="365"/>
      <c r="AB6" s="365"/>
      <c r="AC6" s="365"/>
      <c r="AD6" s="365"/>
      <c r="AE6" s="365"/>
      <c r="AF6" s="365"/>
      <c r="AG6" s="365"/>
      <c r="AH6" s="365"/>
      <c r="AI6" s="365"/>
      <c r="AJ6" s="365"/>
      <c r="AK6" s="365"/>
      <c r="AL6" s="365"/>
      <c r="AM6" s="365"/>
      <c r="AN6" s="365"/>
      <c r="AO6" s="365"/>
      <c r="AP6" s="365"/>
      <c r="AQ6" s="365"/>
      <c r="AR6" s="365"/>
      <c r="AS6" s="365"/>
      <c r="AT6" s="365"/>
      <c r="AU6" s="365"/>
      <c r="AV6" s="365"/>
      <c r="AW6" s="362"/>
      <c r="AX6" s="366"/>
      <c r="AY6" s="366"/>
      <c r="AZ6" s="289"/>
      <c r="BA6" s="367"/>
      <c r="BB6" s="290">
        <f t="shared" ref="BB6" si="6">SUM(O6:BA6)</f>
        <v>10</v>
      </c>
      <c r="BC6" s="290">
        <f t="shared" ref="BC6" si="7">BB6/60</f>
        <v>0.16666666666666666</v>
      </c>
    </row>
    <row r="7" spans="1:242">
      <c r="A7" s="362" t="s">
        <v>348</v>
      </c>
      <c r="B7" s="363" t="s">
        <v>156</v>
      </c>
      <c r="C7" s="362" t="s">
        <v>122</v>
      </c>
      <c r="D7" s="364" t="s">
        <v>292</v>
      </c>
      <c r="E7" s="365"/>
      <c r="F7" s="365">
        <v>1</v>
      </c>
      <c r="G7" s="365"/>
      <c r="H7" s="365">
        <v>1</v>
      </c>
      <c r="I7" s="365"/>
      <c r="J7" s="365"/>
      <c r="K7" s="373">
        <v>0.375</v>
      </c>
      <c r="L7" s="375">
        <f>(K7-K6)*48*30</f>
        <v>29.999999999999972</v>
      </c>
      <c r="M7" s="368">
        <f t="shared" si="1"/>
        <v>30</v>
      </c>
      <c r="N7" s="369">
        <v>0.39583333333333331</v>
      </c>
      <c r="O7" s="365"/>
      <c r="P7" s="365"/>
      <c r="Q7" s="365"/>
      <c r="R7" s="365"/>
      <c r="S7" s="365"/>
      <c r="T7" s="365"/>
      <c r="U7" s="365">
        <v>30</v>
      </c>
      <c r="V7" s="365"/>
      <c r="W7" s="365"/>
      <c r="X7" s="365"/>
      <c r="Y7" s="365"/>
      <c r="Z7" s="365"/>
      <c r="AA7" s="365"/>
      <c r="AB7" s="365"/>
      <c r="AC7" s="365"/>
      <c r="AD7" s="365"/>
      <c r="AE7" s="365"/>
      <c r="AF7" s="365"/>
      <c r="AG7" s="365"/>
      <c r="AH7" s="365"/>
      <c r="AI7" s="365"/>
      <c r="AJ7" s="365"/>
      <c r="AK7" s="365"/>
      <c r="AL7" s="365"/>
      <c r="AM7" s="365"/>
      <c r="AN7" s="365"/>
      <c r="AO7" s="365"/>
      <c r="AP7" s="365"/>
      <c r="AQ7" s="365"/>
      <c r="AR7" s="365"/>
      <c r="AS7" s="365"/>
      <c r="AT7" s="365"/>
      <c r="AU7" s="365"/>
      <c r="AV7" s="365"/>
      <c r="AW7" s="362"/>
      <c r="AX7" s="366"/>
      <c r="AY7" s="366"/>
      <c r="AZ7" s="289"/>
      <c r="BA7" s="367"/>
      <c r="BB7" s="290">
        <f t="shared" si="2"/>
        <v>30</v>
      </c>
      <c r="BC7" s="290">
        <f t="shared" si="3"/>
        <v>0.5</v>
      </c>
    </row>
    <row r="8" spans="1:242">
      <c r="A8" s="362" t="s">
        <v>348</v>
      </c>
      <c r="B8" s="363" t="s">
        <v>470</v>
      </c>
      <c r="C8" s="362" t="s">
        <v>122</v>
      </c>
      <c r="D8" s="364" t="s">
        <v>292</v>
      </c>
      <c r="E8" s="365"/>
      <c r="F8" s="365">
        <v>1</v>
      </c>
      <c r="G8" s="365">
        <v>1</v>
      </c>
      <c r="H8" s="365"/>
      <c r="I8" s="365"/>
      <c r="J8" s="365"/>
      <c r="K8" s="373">
        <v>0.375</v>
      </c>
      <c r="L8" s="375">
        <f>(K8-K7)*48*30</f>
        <v>0</v>
      </c>
      <c r="M8" s="368">
        <f t="shared" si="1"/>
        <v>10</v>
      </c>
      <c r="N8" s="369">
        <v>0.38194444444444442</v>
      </c>
      <c r="O8" s="365"/>
      <c r="P8" s="365"/>
      <c r="Q8" s="365"/>
      <c r="R8" s="365"/>
      <c r="S8" s="365"/>
      <c r="T8" s="365"/>
      <c r="U8" s="365">
        <v>10</v>
      </c>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2"/>
      <c r="AX8" s="366"/>
      <c r="AY8" s="366"/>
      <c r="AZ8" s="289"/>
      <c r="BA8" s="367"/>
      <c r="BB8" s="290">
        <f t="shared" ref="BB8:BB9" si="8">SUM(O8:BA8)</f>
        <v>10</v>
      </c>
      <c r="BC8" s="290">
        <f t="shared" ref="BC8:BC9" si="9">BB8/60</f>
        <v>0.16666666666666666</v>
      </c>
    </row>
    <row r="9" spans="1:242">
      <c r="A9" s="362" t="s">
        <v>11</v>
      </c>
      <c r="B9" s="363" t="s">
        <v>142</v>
      </c>
      <c r="C9" s="362" t="s">
        <v>122</v>
      </c>
      <c r="D9" s="364" t="s">
        <v>129</v>
      </c>
      <c r="E9" s="365"/>
      <c r="F9" s="365"/>
      <c r="G9" s="365">
        <v>1</v>
      </c>
      <c r="H9" s="365">
        <v>1</v>
      </c>
      <c r="I9" s="365"/>
      <c r="J9" s="365"/>
      <c r="K9" s="373">
        <v>0.375</v>
      </c>
      <c r="L9" s="375">
        <f t="shared" ref="L9:L63" si="10">(K9-K8)*48*30</f>
        <v>0</v>
      </c>
      <c r="M9" s="368">
        <f t="shared" si="1"/>
        <v>10</v>
      </c>
      <c r="N9" s="369">
        <v>0.38194444444444442</v>
      </c>
      <c r="O9" s="365"/>
      <c r="P9" s="365"/>
      <c r="Q9" s="365"/>
      <c r="R9" s="365"/>
      <c r="S9" s="365"/>
      <c r="T9" s="365"/>
      <c r="U9" s="365">
        <v>10</v>
      </c>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5"/>
      <c r="AU9" s="365"/>
      <c r="AV9" s="365"/>
      <c r="AW9" s="362"/>
      <c r="AX9" s="366"/>
      <c r="AY9" s="366"/>
      <c r="AZ9" s="289"/>
      <c r="BA9" s="367"/>
      <c r="BB9" s="290">
        <f t="shared" si="8"/>
        <v>10</v>
      </c>
      <c r="BC9" s="290">
        <f t="shared" si="9"/>
        <v>0.16666666666666666</v>
      </c>
    </row>
    <row r="10" spans="1:242">
      <c r="A10" s="362" t="s">
        <v>8</v>
      </c>
      <c r="B10" s="363" t="s">
        <v>466</v>
      </c>
      <c r="C10" s="362"/>
      <c r="D10" s="364" t="s">
        <v>129</v>
      </c>
      <c r="E10" s="365"/>
      <c r="F10" s="365">
        <v>1</v>
      </c>
      <c r="G10" s="365">
        <v>1</v>
      </c>
      <c r="H10" s="365"/>
      <c r="I10" s="365"/>
      <c r="J10" s="365"/>
      <c r="K10" s="373">
        <v>0.37847222222222227</v>
      </c>
      <c r="L10" s="375">
        <f t="shared" si="10"/>
        <v>5.0000000000000622</v>
      </c>
      <c r="M10" s="368">
        <f t="shared" si="1"/>
        <v>50</v>
      </c>
      <c r="N10" s="369">
        <v>0.41319444444444442</v>
      </c>
      <c r="O10" s="365"/>
      <c r="P10" s="365"/>
      <c r="Q10" s="365"/>
      <c r="R10" s="365"/>
      <c r="S10" s="365"/>
      <c r="T10" s="365"/>
      <c r="U10" s="365">
        <v>25</v>
      </c>
      <c r="V10" s="365">
        <v>25</v>
      </c>
      <c r="W10" s="365"/>
      <c r="X10" s="365"/>
      <c r="Y10" s="365"/>
      <c r="Z10" s="365"/>
      <c r="AA10" s="365"/>
      <c r="AB10" s="365"/>
      <c r="AC10" s="365"/>
      <c r="AD10" s="365"/>
      <c r="AE10" s="365"/>
      <c r="AF10" s="365"/>
      <c r="AG10" s="365"/>
      <c r="AH10" s="365"/>
      <c r="AI10" s="365"/>
      <c r="AJ10" s="365"/>
      <c r="AK10" s="365"/>
      <c r="AL10" s="365"/>
      <c r="AM10" s="365"/>
      <c r="AN10" s="365"/>
      <c r="AO10" s="365"/>
      <c r="AP10" s="365"/>
      <c r="AQ10" s="365"/>
      <c r="AR10" s="365"/>
      <c r="AS10" s="365"/>
      <c r="AT10" s="365"/>
      <c r="AU10" s="365"/>
      <c r="AV10" s="365"/>
      <c r="AW10" s="362"/>
      <c r="AX10" s="366"/>
      <c r="AY10" s="366"/>
      <c r="AZ10" s="289"/>
      <c r="BA10" s="367"/>
      <c r="BB10" s="290">
        <f t="shared" si="2"/>
        <v>50</v>
      </c>
      <c r="BC10" s="290">
        <f t="shared" si="3"/>
        <v>0.83333333333333337</v>
      </c>
    </row>
    <row r="11" spans="1:242">
      <c r="A11" s="362" t="s">
        <v>8</v>
      </c>
      <c r="B11" s="363" t="s">
        <v>469</v>
      </c>
      <c r="C11" s="362"/>
      <c r="D11" s="364" t="s">
        <v>129</v>
      </c>
      <c r="E11" s="365"/>
      <c r="F11" s="365">
        <v>1</v>
      </c>
      <c r="G11" s="365"/>
      <c r="H11" s="365"/>
      <c r="I11" s="365"/>
      <c r="J11" s="365">
        <v>1</v>
      </c>
      <c r="K11" s="373">
        <v>0.38541666666666669</v>
      </c>
      <c r="L11" s="375">
        <f t="shared" si="10"/>
        <v>9.9999999999999645</v>
      </c>
      <c r="M11" s="368">
        <f t="shared" si="1"/>
        <v>30</v>
      </c>
      <c r="N11" s="369">
        <v>0.40625</v>
      </c>
      <c r="O11" s="365"/>
      <c r="P11" s="365"/>
      <c r="Q11" s="365"/>
      <c r="R11" s="365"/>
      <c r="S11" s="365"/>
      <c r="T11" s="365"/>
      <c r="U11" s="365">
        <v>15</v>
      </c>
      <c r="V11" s="365">
        <v>15</v>
      </c>
      <c r="W11" s="365"/>
      <c r="X11" s="365"/>
      <c r="Y11" s="365"/>
      <c r="Z11" s="365"/>
      <c r="AA11" s="365"/>
      <c r="AB11" s="365"/>
      <c r="AC11" s="365"/>
      <c r="AD11" s="365"/>
      <c r="AE11" s="365"/>
      <c r="AF11" s="365"/>
      <c r="AG11" s="365"/>
      <c r="AH11" s="365"/>
      <c r="AI11" s="365"/>
      <c r="AJ11" s="365"/>
      <c r="AK11" s="365"/>
      <c r="AL11" s="365"/>
      <c r="AM11" s="365"/>
      <c r="AN11" s="365"/>
      <c r="AO11" s="365"/>
      <c r="AP11" s="365"/>
      <c r="AQ11" s="365"/>
      <c r="AR11" s="365"/>
      <c r="AS11" s="365"/>
      <c r="AT11" s="365"/>
      <c r="AU11" s="365"/>
      <c r="AV11" s="365"/>
      <c r="AW11" s="362"/>
      <c r="AX11" s="366"/>
      <c r="AY11" s="366"/>
      <c r="AZ11" s="289"/>
      <c r="BA11" s="367"/>
      <c r="BB11" s="290">
        <f t="shared" si="2"/>
        <v>30</v>
      </c>
      <c r="BC11" s="290">
        <f t="shared" si="3"/>
        <v>0.5</v>
      </c>
    </row>
    <row r="12" spans="1:242">
      <c r="A12" s="362" t="s">
        <v>8</v>
      </c>
      <c r="B12" s="363" t="s">
        <v>459</v>
      </c>
      <c r="C12" s="362" t="s">
        <v>122</v>
      </c>
      <c r="D12" s="364" t="s">
        <v>292</v>
      </c>
      <c r="E12" s="365"/>
      <c r="F12" s="365">
        <v>1</v>
      </c>
      <c r="G12" s="365">
        <v>1</v>
      </c>
      <c r="H12" s="365"/>
      <c r="I12" s="365"/>
      <c r="J12" s="365">
        <v>1</v>
      </c>
      <c r="K12" s="373">
        <v>0.38541666666666669</v>
      </c>
      <c r="L12" s="375">
        <f t="shared" si="10"/>
        <v>0</v>
      </c>
      <c r="M12" s="368">
        <f t="shared" si="1"/>
        <v>35</v>
      </c>
      <c r="N12" s="369">
        <v>0.40972222222222227</v>
      </c>
      <c r="O12" s="365"/>
      <c r="P12" s="365"/>
      <c r="Q12" s="365"/>
      <c r="R12" s="365"/>
      <c r="S12" s="365"/>
      <c r="T12" s="365"/>
      <c r="U12" s="365">
        <v>15</v>
      </c>
      <c r="V12" s="365">
        <v>10</v>
      </c>
      <c r="W12" s="365"/>
      <c r="X12" s="365">
        <v>10</v>
      </c>
      <c r="Y12" s="365"/>
      <c r="Z12" s="365"/>
      <c r="AA12" s="365"/>
      <c r="AB12" s="365"/>
      <c r="AC12" s="365"/>
      <c r="AD12" s="365"/>
      <c r="AE12" s="365"/>
      <c r="AF12" s="365"/>
      <c r="AG12" s="365"/>
      <c r="AH12" s="365"/>
      <c r="AI12" s="365"/>
      <c r="AJ12" s="365"/>
      <c r="AK12" s="365"/>
      <c r="AL12" s="365"/>
      <c r="AM12" s="365"/>
      <c r="AN12" s="365"/>
      <c r="AO12" s="365"/>
      <c r="AP12" s="365"/>
      <c r="AQ12" s="365"/>
      <c r="AR12" s="365"/>
      <c r="AS12" s="365"/>
      <c r="AT12" s="365"/>
      <c r="AU12" s="365"/>
      <c r="AV12" s="365"/>
      <c r="AW12" s="362"/>
      <c r="AX12" s="366"/>
      <c r="AY12" s="366"/>
      <c r="AZ12" s="289"/>
      <c r="BA12" s="367"/>
      <c r="BB12" s="290">
        <f t="shared" ref="BB12" si="11">SUM(O12:BA12)</f>
        <v>35</v>
      </c>
      <c r="BC12" s="290">
        <f t="shared" ref="BC12" si="12">BB12/60</f>
        <v>0.58333333333333337</v>
      </c>
    </row>
    <row r="13" spans="1:242">
      <c r="A13" s="362" t="s">
        <v>347</v>
      </c>
      <c r="B13" s="363" t="s">
        <v>480</v>
      </c>
      <c r="C13" s="362" t="s">
        <v>122</v>
      </c>
      <c r="D13" s="364" t="s">
        <v>292</v>
      </c>
      <c r="E13" s="365"/>
      <c r="F13" s="365"/>
      <c r="G13" s="365"/>
      <c r="H13" s="365"/>
      <c r="I13" s="365"/>
      <c r="J13" s="365"/>
      <c r="K13" s="373">
        <v>0.3888888888888889</v>
      </c>
      <c r="L13" s="375">
        <f t="shared" si="10"/>
        <v>4.9999999999999822</v>
      </c>
      <c r="M13" s="368">
        <f t="shared" si="1"/>
        <v>10</v>
      </c>
      <c r="N13" s="369">
        <v>0.39583333333333331</v>
      </c>
      <c r="O13" s="365"/>
      <c r="P13" s="365"/>
      <c r="Q13" s="365"/>
      <c r="R13" s="365"/>
      <c r="S13" s="365"/>
      <c r="T13" s="365"/>
      <c r="U13" s="365"/>
      <c r="V13" s="365">
        <v>10</v>
      </c>
      <c r="W13" s="365"/>
      <c r="X13" s="365"/>
      <c r="Y13" s="365"/>
      <c r="Z13" s="365"/>
      <c r="AA13" s="365"/>
      <c r="AB13" s="365"/>
      <c r="AC13" s="365"/>
      <c r="AD13" s="365"/>
      <c r="AE13" s="365"/>
      <c r="AF13" s="365"/>
      <c r="AG13" s="365"/>
      <c r="AH13" s="365"/>
      <c r="AI13" s="365"/>
      <c r="AJ13" s="365"/>
      <c r="AK13" s="365"/>
      <c r="AL13" s="365"/>
      <c r="AM13" s="365"/>
      <c r="AN13" s="365"/>
      <c r="AO13" s="365"/>
      <c r="AP13" s="365"/>
      <c r="AQ13" s="365"/>
      <c r="AR13" s="365"/>
      <c r="AS13" s="365"/>
      <c r="AT13" s="365"/>
      <c r="AU13" s="365"/>
      <c r="AV13" s="365"/>
      <c r="AW13" s="362"/>
      <c r="AX13" s="366"/>
      <c r="AY13" s="366"/>
      <c r="AZ13" s="289"/>
      <c r="BA13" s="367"/>
      <c r="BB13" s="290">
        <f t="shared" si="2"/>
        <v>10</v>
      </c>
      <c r="BC13" s="290">
        <f t="shared" si="3"/>
        <v>0.16666666666666666</v>
      </c>
    </row>
    <row r="14" spans="1:242">
      <c r="A14" s="362" t="s">
        <v>347</v>
      </c>
      <c r="B14" s="363" t="s">
        <v>285</v>
      </c>
      <c r="C14" s="362" t="s">
        <v>122</v>
      </c>
      <c r="D14" s="364" t="s">
        <v>292</v>
      </c>
      <c r="E14" s="365"/>
      <c r="F14" s="365">
        <v>1</v>
      </c>
      <c r="G14" s="365"/>
      <c r="H14" s="365"/>
      <c r="I14" s="365"/>
      <c r="J14" s="365">
        <v>1</v>
      </c>
      <c r="K14" s="373">
        <v>0.39583333333333331</v>
      </c>
      <c r="L14" s="375">
        <f t="shared" si="10"/>
        <v>9.9999999999999645</v>
      </c>
      <c r="M14" s="368">
        <f t="shared" si="1"/>
        <v>20</v>
      </c>
      <c r="N14" s="369">
        <v>0.40972222222222227</v>
      </c>
      <c r="O14" s="365"/>
      <c r="P14" s="365"/>
      <c r="Q14" s="365"/>
      <c r="R14" s="365"/>
      <c r="S14" s="365"/>
      <c r="T14" s="365"/>
      <c r="U14" s="365"/>
      <c r="V14" s="365">
        <v>15</v>
      </c>
      <c r="W14" s="365">
        <v>5</v>
      </c>
      <c r="X14" s="365"/>
      <c r="Y14" s="365"/>
      <c r="Z14" s="365"/>
      <c r="AA14" s="365"/>
      <c r="AB14" s="365"/>
      <c r="AC14" s="365"/>
      <c r="AD14" s="365"/>
      <c r="AE14" s="365"/>
      <c r="AF14" s="365"/>
      <c r="AG14" s="365"/>
      <c r="AH14" s="365"/>
      <c r="AI14" s="365"/>
      <c r="AJ14" s="365"/>
      <c r="AK14" s="365"/>
      <c r="AL14" s="365"/>
      <c r="AM14" s="365"/>
      <c r="AN14" s="365"/>
      <c r="AO14" s="365"/>
      <c r="AP14" s="365"/>
      <c r="AQ14" s="365"/>
      <c r="AR14" s="365"/>
      <c r="AS14" s="365"/>
      <c r="AT14" s="365"/>
      <c r="AU14" s="365"/>
      <c r="AV14" s="365"/>
      <c r="AW14" s="362"/>
      <c r="AX14" s="366"/>
      <c r="AY14" s="366"/>
      <c r="AZ14" s="289"/>
      <c r="BA14" s="367"/>
      <c r="BB14" s="290">
        <f t="shared" ref="BB14" si="13">SUM(O14:BA14)</f>
        <v>20</v>
      </c>
      <c r="BC14" s="290">
        <f t="shared" ref="BC14" si="14">BB14/60</f>
        <v>0.33333333333333331</v>
      </c>
    </row>
    <row r="15" spans="1:242">
      <c r="A15" s="362" t="s">
        <v>348</v>
      </c>
      <c r="B15" s="363" t="s">
        <v>290</v>
      </c>
      <c r="C15" s="362" t="s">
        <v>122</v>
      </c>
      <c r="D15" s="364" t="s">
        <v>292</v>
      </c>
      <c r="E15" s="365"/>
      <c r="F15" s="365">
        <v>1</v>
      </c>
      <c r="G15" s="365"/>
      <c r="H15" s="365"/>
      <c r="I15" s="365"/>
      <c r="J15" s="365"/>
      <c r="K15" s="373">
        <v>0.39583333333333331</v>
      </c>
      <c r="L15" s="375">
        <f t="shared" si="10"/>
        <v>0</v>
      </c>
      <c r="M15" s="368">
        <f t="shared" si="1"/>
        <v>5</v>
      </c>
      <c r="N15" s="369">
        <v>0.39930555555555558</v>
      </c>
      <c r="O15" s="365"/>
      <c r="P15" s="365"/>
      <c r="Q15" s="365"/>
      <c r="R15" s="365"/>
      <c r="S15" s="365"/>
      <c r="T15" s="365"/>
      <c r="U15" s="365"/>
      <c r="V15" s="365">
        <v>5</v>
      </c>
      <c r="W15" s="365"/>
      <c r="X15" s="365"/>
      <c r="Y15" s="365"/>
      <c r="Z15" s="365"/>
      <c r="AA15" s="365"/>
      <c r="AB15" s="365"/>
      <c r="AC15" s="365"/>
      <c r="AD15" s="365"/>
      <c r="AE15" s="365"/>
      <c r="AF15" s="365"/>
      <c r="AG15" s="365"/>
      <c r="AH15" s="365"/>
      <c r="AI15" s="365"/>
      <c r="AJ15" s="365"/>
      <c r="AK15" s="365"/>
      <c r="AL15" s="365"/>
      <c r="AM15" s="365"/>
      <c r="AN15" s="365"/>
      <c r="AO15" s="365"/>
      <c r="AP15" s="365"/>
      <c r="AQ15" s="365"/>
      <c r="AR15" s="365"/>
      <c r="AS15" s="365"/>
      <c r="AT15" s="365"/>
      <c r="AU15" s="365"/>
      <c r="AV15" s="365"/>
      <c r="AW15" s="362"/>
      <c r="AX15" s="366"/>
      <c r="AY15" s="366"/>
      <c r="AZ15" s="289"/>
      <c r="BA15" s="367"/>
      <c r="BB15" s="290">
        <f t="shared" si="2"/>
        <v>5</v>
      </c>
      <c r="BC15" s="290">
        <f t="shared" si="3"/>
        <v>8.3333333333333329E-2</v>
      </c>
    </row>
    <row r="16" spans="1:242">
      <c r="A16" s="362" t="s">
        <v>348</v>
      </c>
      <c r="B16" s="363" t="s">
        <v>472</v>
      </c>
      <c r="C16" s="362" t="s">
        <v>131</v>
      </c>
      <c r="D16" s="364" t="s">
        <v>292</v>
      </c>
      <c r="E16" s="365"/>
      <c r="F16" s="365">
        <v>1</v>
      </c>
      <c r="G16" s="365">
        <v>1</v>
      </c>
      <c r="H16" s="365"/>
      <c r="I16" s="365"/>
      <c r="J16" s="365"/>
      <c r="K16" s="373">
        <v>0.39583333333333331</v>
      </c>
      <c r="L16" s="375">
        <f t="shared" si="10"/>
        <v>0</v>
      </c>
      <c r="M16" s="368">
        <f t="shared" si="1"/>
        <v>10</v>
      </c>
      <c r="N16" s="369">
        <v>0.38194444444444442</v>
      </c>
      <c r="O16" s="365"/>
      <c r="P16" s="365"/>
      <c r="Q16" s="365"/>
      <c r="R16" s="365"/>
      <c r="S16" s="365"/>
      <c r="T16" s="365"/>
      <c r="U16" s="365"/>
      <c r="V16" s="365">
        <v>10</v>
      </c>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5"/>
      <c r="AU16" s="365"/>
      <c r="AV16" s="365"/>
      <c r="AW16" s="362"/>
      <c r="AX16" s="366"/>
      <c r="AY16" s="366"/>
      <c r="AZ16" s="289"/>
      <c r="BA16" s="367"/>
      <c r="BB16" s="290">
        <f t="shared" si="2"/>
        <v>10</v>
      </c>
      <c r="BC16" s="290">
        <f t="shared" si="3"/>
        <v>0.16666666666666666</v>
      </c>
    </row>
    <row r="17" spans="1:55">
      <c r="A17" s="362" t="s">
        <v>11</v>
      </c>
      <c r="B17" s="363" t="s">
        <v>481</v>
      </c>
      <c r="C17" s="362" t="s">
        <v>122</v>
      </c>
      <c r="D17" s="364" t="s">
        <v>309</v>
      </c>
      <c r="E17" s="365"/>
      <c r="F17" s="365"/>
      <c r="G17" s="365">
        <v>1</v>
      </c>
      <c r="H17" s="365">
        <v>1</v>
      </c>
      <c r="I17" s="365"/>
      <c r="J17" s="365"/>
      <c r="K17" s="373">
        <v>0.39583333333333331</v>
      </c>
      <c r="L17" s="375">
        <f t="shared" si="10"/>
        <v>0</v>
      </c>
      <c r="M17" s="368">
        <f t="shared" si="1"/>
        <v>15</v>
      </c>
      <c r="N17" s="369">
        <v>0.40625</v>
      </c>
      <c r="O17" s="365"/>
      <c r="P17" s="365"/>
      <c r="Q17" s="365"/>
      <c r="R17" s="365"/>
      <c r="S17" s="365"/>
      <c r="T17" s="365"/>
      <c r="U17" s="365">
        <v>15</v>
      </c>
      <c r="V17" s="365"/>
      <c r="W17" s="365"/>
      <c r="X17" s="365"/>
      <c r="Y17" s="365"/>
      <c r="Z17" s="365"/>
      <c r="AA17" s="365"/>
      <c r="AB17" s="365"/>
      <c r="AC17" s="365"/>
      <c r="AD17" s="365"/>
      <c r="AE17" s="365"/>
      <c r="AF17" s="365"/>
      <c r="AG17" s="365"/>
      <c r="AH17" s="365"/>
      <c r="AI17" s="365"/>
      <c r="AJ17" s="365"/>
      <c r="AK17" s="365"/>
      <c r="AL17" s="365"/>
      <c r="AM17" s="365"/>
      <c r="AN17" s="365"/>
      <c r="AO17" s="365"/>
      <c r="AP17" s="365"/>
      <c r="AQ17" s="365"/>
      <c r="AR17" s="365"/>
      <c r="AS17" s="365"/>
      <c r="AT17" s="365"/>
      <c r="AU17" s="365"/>
      <c r="AV17" s="365"/>
      <c r="AW17" s="362"/>
      <c r="AX17" s="366"/>
      <c r="AY17" s="366"/>
      <c r="AZ17" s="289"/>
      <c r="BA17" s="367"/>
      <c r="BB17" s="290">
        <f t="shared" si="2"/>
        <v>15</v>
      </c>
      <c r="BC17" s="290">
        <f t="shared" si="3"/>
        <v>0.25</v>
      </c>
    </row>
    <row r="18" spans="1:55">
      <c r="A18" s="362" t="s">
        <v>11</v>
      </c>
      <c r="B18" s="363" t="s">
        <v>139</v>
      </c>
      <c r="C18" s="362" t="s">
        <v>122</v>
      </c>
      <c r="D18" s="364" t="s">
        <v>129</v>
      </c>
      <c r="E18" s="365"/>
      <c r="F18" s="365">
        <v>1</v>
      </c>
      <c r="G18" s="365"/>
      <c r="H18" s="365">
        <v>1</v>
      </c>
      <c r="I18" s="365"/>
      <c r="J18" s="365"/>
      <c r="K18" s="373">
        <v>0.39583333333333331</v>
      </c>
      <c r="L18" s="375">
        <f t="shared" si="10"/>
        <v>0</v>
      </c>
      <c r="M18" s="368">
        <f t="shared" si="1"/>
        <v>5</v>
      </c>
      <c r="N18" s="369">
        <v>0.39930555555555558</v>
      </c>
      <c r="O18" s="365"/>
      <c r="P18" s="365"/>
      <c r="Q18" s="365"/>
      <c r="R18" s="365"/>
      <c r="S18" s="365"/>
      <c r="T18" s="365"/>
      <c r="U18" s="365"/>
      <c r="V18" s="365">
        <v>5</v>
      </c>
      <c r="W18" s="365"/>
      <c r="X18" s="365"/>
      <c r="Y18" s="365"/>
      <c r="Z18" s="365"/>
      <c r="AA18" s="365"/>
      <c r="AB18" s="365"/>
      <c r="AC18" s="365"/>
      <c r="AD18" s="365"/>
      <c r="AE18" s="365"/>
      <c r="AF18" s="365"/>
      <c r="AG18" s="365"/>
      <c r="AH18" s="365"/>
      <c r="AI18" s="365"/>
      <c r="AJ18" s="365"/>
      <c r="AK18" s="365"/>
      <c r="AL18" s="365"/>
      <c r="AM18" s="365"/>
      <c r="AN18" s="365"/>
      <c r="AO18" s="365"/>
      <c r="AP18" s="365"/>
      <c r="AQ18" s="365"/>
      <c r="AR18" s="365"/>
      <c r="AS18" s="365"/>
      <c r="AT18" s="365"/>
      <c r="AU18" s="365"/>
      <c r="AV18" s="365"/>
      <c r="AW18" s="362"/>
      <c r="AX18" s="366"/>
      <c r="AY18" s="366"/>
      <c r="AZ18" s="289"/>
      <c r="BA18" s="367"/>
      <c r="BB18" s="290">
        <f t="shared" si="2"/>
        <v>5</v>
      </c>
      <c r="BC18" s="290">
        <f t="shared" si="3"/>
        <v>8.3333333333333329E-2</v>
      </c>
    </row>
    <row r="19" spans="1:55">
      <c r="A19" s="362" t="s">
        <v>11</v>
      </c>
      <c r="B19" s="363" t="s">
        <v>341</v>
      </c>
      <c r="C19" s="362" t="s">
        <v>122</v>
      </c>
      <c r="D19" s="364" t="s">
        <v>129</v>
      </c>
      <c r="E19" s="365"/>
      <c r="F19" s="365"/>
      <c r="G19" s="365"/>
      <c r="H19" s="365">
        <v>1</v>
      </c>
      <c r="I19" s="365"/>
      <c r="J19" s="365"/>
      <c r="K19" s="373">
        <v>0.40972222222222227</v>
      </c>
      <c r="L19" s="375">
        <f t="shared" si="10"/>
        <v>20.000000000000089</v>
      </c>
      <c r="M19" s="368">
        <f t="shared" si="1"/>
        <v>20</v>
      </c>
      <c r="N19" s="369">
        <v>0.4236111111111111</v>
      </c>
      <c r="O19" s="365"/>
      <c r="P19" s="365"/>
      <c r="Q19" s="365"/>
      <c r="R19" s="365"/>
      <c r="S19" s="365"/>
      <c r="T19" s="365"/>
      <c r="U19" s="365"/>
      <c r="V19" s="365">
        <v>10</v>
      </c>
      <c r="W19" s="365">
        <v>10</v>
      </c>
      <c r="X19" s="365"/>
      <c r="Y19" s="365"/>
      <c r="Z19" s="365"/>
      <c r="AA19" s="365"/>
      <c r="AB19" s="365"/>
      <c r="AC19" s="365"/>
      <c r="AD19" s="365"/>
      <c r="AE19" s="365"/>
      <c r="AF19" s="365"/>
      <c r="AG19" s="365"/>
      <c r="AH19" s="365"/>
      <c r="AI19" s="365"/>
      <c r="AJ19" s="365"/>
      <c r="AK19" s="365"/>
      <c r="AL19" s="365"/>
      <c r="AM19" s="365"/>
      <c r="AN19" s="365"/>
      <c r="AO19" s="365"/>
      <c r="AP19" s="365"/>
      <c r="AQ19" s="365"/>
      <c r="AR19" s="365"/>
      <c r="AS19" s="365"/>
      <c r="AT19" s="365"/>
      <c r="AU19" s="365"/>
      <c r="AV19" s="365"/>
      <c r="AW19" s="362"/>
      <c r="AX19" s="366"/>
      <c r="AY19" s="366"/>
      <c r="AZ19" s="289"/>
      <c r="BA19" s="367"/>
      <c r="BB19" s="290">
        <f t="shared" si="2"/>
        <v>20</v>
      </c>
      <c r="BC19" s="290">
        <f t="shared" si="3"/>
        <v>0.33333333333333331</v>
      </c>
    </row>
    <row r="20" spans="1:55">
      <c r="A20" s="362" t="s">
        <v>8</v>
      </c>
      <c r="B20" s="363" t="s">
        <v>467</v>
      </c>
      <c r="C20" s="362" t="s">
        <v>122</v>
      </c>
      <c r="D20" s="364" t="s">
        <v>292</v>
      </c>
      <c r="E20" s="365"/>
      <c r="F20" s="365"/>
      <c r="G20" s="365">
        <v>1</v>
      </c>
      <c r="H20" s="365"/>
      <c r="I20" s="365"/>
      <c r="J20" s="365"/>
      <c r="K20" s="373">
        <v>0.41666666666666669</v>
      </c>
      <c r="L20" s="375">
        <f t="shared" si="10"/>
        <v>9.9999999999999645</v>
      </c>
      <c r="M20" s="368">
        <f t="shared" si="1"/>
        <v>40</v>
      </c>
      <c r="N20" s="369">
        <v>0.44444444444444442</v>
      </c>
      <c r="O20" s="365"/>
      <c r="P20" s="365"/>
      <c r="Q20" s="365"/>
      <c r="R20" s="365"/>
      <c r="S20" s="365"/>
      <c r="T20" s="365"/>
      <c r="U20" s="365"/>
      <c r="V20" s="365"/>
      <c r="W20" s="365">
        <v>30</v>
      </c>
      <c r="X20" s="365">
        <v>10</v>
      </c>
      <c r="Y20" s="365"/>
      <c r="Z20" s="365"/>
      <c r="AA20" s="365"/>
      <c r="AB20" s="365"/>
      <c r="AC20" s="365"/>
      <c r="AD20" s="365"/>
      <c r="AE20" s="365"/>
      <c r="AF20" s="365"/>
      <c r="AG20" s="365"/>
      <c r="AH20" s="365"/>
      <c r="AI20" s="365"/>
      <c r="AJ20" s="365"/>
      <c r="AK20" s="365"/>
      <c r="AL20" s="365"/>
      <c r="AM20" s="365"/>
      <c r="AN20" s="365"/>
      <c r="AO20" s="365"/>
      <c r="AP20" s="365"/>
      <c r="AQ20" s="365"/>
      <c r="AR20" s="365"/>
      <c r="AS20" s="365"/>
      <c r="AT20" s="365"/>
      <c r="AU20" s="365"/>
      <c r="AV20" s="365"/>
      <c r="AW20" s="362"/>
      <c r="AX20" s="366"/>
      <c r="AY20" s="366"/>
      <c r="AZ20" s="289"/>
      <c r="BA20" s="367"/>
      <c r="BB20" s="290">
        <f t="shared" si="2"/>
        <v>40</v>
      </c>
      <c r="BC20" s="290">
        <f t="shared" si="3"/>
        <v>0.66666666666666663</v>
      </c>
    </row>
    <row r="21" spans="1:55">
      <c r="A21" s="362" t="s">
        <v>44</v>
      </c>
      <c r="B21" s="363" t="s">
        <v>484</v>
      </c>
      <c r="C21" s="362" t="s">
        <v>122</v>
      </c>
      <c r="D21" s="364" t="s">
        <v>292</v>
      </c>
      <c r="E21" s="365">
        <v>1</v>
      </c>
      <c r="F21" s="365">
        <v>1</v>
      </c>
      <c r="G21" s="365">
        <v>1</v>
      </c>
      <c r="H21" s="365">
        <v>1</v>
      </c>
      <c r="I21" s="365">
        <v>1</v>
      </c>
      <c r="J21" s="365">
        <v>1</v>
      </c>
      <c r="K21" s="373">
        <v>0.41666666666666669</v>
      </c>
      <c r="L21" s="375">
        <f t="shared" si="10"/>
        <v>0</v>
      </c>
      <c r="M21" s="368">
        <f t="shared" si="1"/>
        <v>20</v>
      </c>
      <c r="N21" s="369">
        <v>0.43055555555555558</v>
      </c>
      <c r="O21" s="365"/>
      <c r="P21" s="365"/>
      <c r="Q21" s="365"/>
      <c r="R21" s="365"/>
      <c r="S21" s="365"/>
      <c r="T21" s="365"/>
      <c r="U21" s="365"/>
      <c r="V21" s="365"/>
      <c r="W21" s="365">
        <v>20</v>
      </c>
      <c r="X21" s="365"/>
      <c r="Y21" s="365"/>
      <c r="Z21" s="365"/>
      <c r="AA21" s="365"/>
      <c r="AB21" s="365"/>
      <c r="AC21" s="365"/>
      <c r="AD21" s="365"/>
      <c r="AE21" s="365"/>
      <c r="AF21" s="365"/>
      <c r="AG21" s="365"/>
      <c r="AH21" s="365"/>
      <c r="AI21" s="365"/>
      <c r="AJ21" s="365"/>
      <c r="AK21" s="365"/>
      <c r="AL21" s="365"/>
      <c r="AM21" s="365"/>
      <c r="AN21" s="365"/>
      <c r="AO21" s="365"/>
      <c r="AP21" s="365"/>
      <c r="AQ21" s="365"/>
      <c r="AR21" s="365"/>
      <c r="AS21" s="365"/>
      <c r="AT21" s="365"/>
      <c r="AU21" s="365"/>
      <c r="AV21" s="365"/>
      <c r="AW21" s="362"/>
      <c r="AX21" s="366"/>
      <c r="AY21" s="366"/>
      <c r="AZ21" s="289"/>
      <c r="BA21" s="367"/>
      <c r="BB21" s="290">
        <f t="shared" si="2"/>
        <v>20</v>
      </c>
      <c r="BC21" s="290">
        <f t="shared" si="3"/>
        <v>0.33333333333333331</v>
      </c>
    </row>
    <row r="22" spans="1:55">
      <c r="A22" s="362" t="s">
        <v>11</v>
      </c>
      <c r="B22" s="363" t="s">
        <v>300</v>
      </c>
      <c r="C22" s="362" t="s">
        <v>122</v>
      </c>
      <c r="D22" s="364" t="s">
        <v>129</v>
      </c>
      <c r="E22" s="365"/>
      <c r="F22" s="365"/>
      <c r="G22" s="365"/>
      <c r="H22" s="365">
        <v>1</v>
      </c>
      <c r="I22" s="365"/>
      <c r="J22" s="365"/>
      <c r="K22" s="373">
        <v>0.43402777777777773</v>
      </c>
      <c r="L22" s="375">
        <f t="shared" si="10"/>
        <v>24.999999999999911</v>
      </c>
      <c r="M22" s="368">
        <f t="shared" si="1"/>
        <v>15</v>
      </c>
      <c r="N22" s="369">
        <v>0.44444444444444442</v>
      </c>
      <c r="O22" s="365"/>
      <c r="P22" s="365"/>
      <c r="Q22" s="365"/>
      <c r="R22" s="365"/>
      <c r="S22" s="365"/>
      <c r="T22" s="365"/>
      <c r="U22" s="365"/>
      <c r="V22" s="371"/>
      <c r="W22" s="365">
        <v>5</v>
      </c>
      <c r="X22" s="365">
        <v>10</v>
      </c>
      <c r="Y22" s="365"/>
      <c r="Z22" s="365"/>
      <c r="AA22" s="365"/>
      <c r="AB22" s="365"/>
      <c r="AC22" s="365"/>
      <c r="AD22" s="365"/>
      <c r="AE22" s="365"/>
      <c r="AF22" s="365"/>
      <c r="AG22" s="365"/>
      <c r="AH22" s="365"/>
      <c r="AI22" s="365"/>
      <c r="AJ22" s="365"/>
      <c r="AK22" s="365"/>
      <c r="AL22" s="365"/>
      <c r="AM22" s="365"/>
      <c r="AN22" s="365"/>
      <c r="AO22" s="365"/>
      <c r="AP22" s="365"/>
      <c r="AQ22" s="365"/>
      <c r="AR22" s="365"/>
      <c r="AS22" s="365"/>
      <c r="AT22" s="365"/>
      <c r="AU22" s="365"/>
      <c r="AV22" s="365"/>
      <c r="AW22" s="362"/>
      <c r="AX22" s="366"/>
      <c r="AY22" s="366"/>
      <c r="AZ22" s="289"/>
      <c r="BA22" s="367"/>
      <c r="BB22" s="290">
        <f t="shared" ref="BB22" si="15">SUM(O22:BA22)</f>
        <v>15</v>
      </c>
      <c r="BC22" s="290">
        <f t="shared" ref="BC22" si="16">BB22/60</f>
        <v>0.25</v>
      </c>
    </row>
    <row r="23" spans="1:55">
      <c r="A23" s="362" t="s">
        <v>347</v>
      </c>
      <c r="B23" s="363" t="s">
        <v>151</v>
      </c>
      <c r="C23" s="362" t="s">
        <v>122</v>
      </c>
      <c r="D23" s="364" t="s">
        <v>292</v>
      </c>
      <c r="E23" s="365">
        <v>1</v>
      </c>
      <c r="F23" s="365">
        <v>1</v>
      </c>
      <c r="G23" s="365">
        <v>1</v>
      </c>
      <c r="H23" s="365">
        <v>1</v>
      </c>
      <c r="I23" s="365">
        <v>1</v>
      </c>
      <c r="J23" s="365">
        <v>1</v>
      </c>
      <c r="K23" s="373">
        <v>0.4375</v>
      </c>
      <c r="L23" s="375">
        <f t="shared" si="10"/>
        <v>5.0000000000000622</v>
      </c>
      <c r="M23" s="368">
        <f t="shared" si="1"/>
        <v>10</v>
      </c>
      <c r="N23" s="369">
        <v>0.44444444444444442</v>
      </c>
      <c r="O23" s="365"/>
      <c r="P23" s="365"/>
      <c r="Q23" s="365"/>
      <c r="R23" s="365"/>
      <c r="S23" s="365"/>
      <c r="T23" s="365"/>
      <c r="U23" s="365"/>
      <c r="V23" s="365"/>
      <c r="W23" s="365"/>
      <c r="X23" s="365">
        <v>10</v>
      </c>
      <c r="Y23" s="365"/>
      <c r="Z23" s="365"/>
      <c r="AA23" s="365"/>
      <c r="AB23" s="365"/>
      <c r="AC23" s="365"/>
      <c r="AD23" s="365"/>
      <c r="AE23" s="365"/>
      <c r="AF23" s="365"/>
      <c r="AG23" s="365"/>
      <c r="AH23" s="365"/>
      <c r="AI23" s="365"/>
      <c r="AJ23" s="365"/>
      <c r="AK23" s="365"/>
      <c r="AL23" s="365"/>
      <c r="AM23" s="365"/>
      <c r="AN23" s="365"/>
      <c r="AO23" s="365"/>
      <c r="AP23" s="365"/>
      <c r="AQ23" s="365"/>
      <c r="AR23" s="365"/>
      <c r="AS23" s="365"/>
      <c r="AT23" s="365"/>
      <c r="AU23" s="365"/>
      <c r="AV23" s="365"/>
      <c r="AW23" s="362"/>
      <c r="AX23" s="366"/>
      <c r="AY23" s="366"/>
      <c r="AZ23" s="289"/>
      <c r="BA23" s="367"/>
      <c r="BB23" s="290">
        <f t="shared" si="2"/>
        <v>10</v>
      </c>
      <c r="BC23" s="290">
        <f t="shared" si="3"/>
        <v>0.16666666666666666</v>
      </c>
    </row>
    <row r="24" spans="1:55">
      <c r="A24" s="362" t="s">
        <v>8</v>
      </c>
      <c r="B24" s="363" t="s">
        <v>476</v>
      </c>
      <c r="C24" s="362" t="s">
        <v>122</v>
      </c>
      <c r="D24" s="364" t="s">
        <v>309</v>
      </c>
      <c r="E24" s="365"/>
      <c r="F24" s="365">
        <v>1</v>
      </c>
      <c r="G24" s="365">
        <v>1</v>
      </c>
      <c r="H24" s="365">
        <v>1</v>
      </c>
      <c r="I24" s="365">
        <v>1</v>
      </c>
      <c r="J24" s="365">
        <v>1</v>
      </c>
      <c r="K24" s="373">
        <v>0.55555555555555558</v>
      </c>
      <c r="L24" s="375">
        <f t="shared" si="10"/>
        <v>170.00000000000003</v>
      </c>
      <c r="M24" s="368">
        <f t="shared" si="1"/>
        <v>60</v>
      </c>
      <c r="N24" s="369">
        <v>0.59722222222222221</v>
      </c>
      <c r="O24" s="365"/>
      <c r="P24" s="365"/>
      <c r="Q24" s="365"/>
      <c r="R24" s="365"/>
      <c r="S24" s="365"/>
      <c r="T24" s="365"/>
      <c r="U24" s="365"/>
      <c r="V24" s="365"/>
      <c r="W24" s="365"/>
      <c r="X24" s="365"/>
      <c r="Y24" s="365"/>
      <c r="Z24" s="365"/>
      <c r="AA24" s="365"/>
      <c r="AB24" s="365"/>
      <c r="AC24" s="365">
        <v>10</v>
      </c>
      <c r="AD24" s="365">
        <v>30</v>
      </c>
      <c r="AE24" s="365">
        <v>20</v>
      </c>
      <c r="AF24" s="365"/>
      <c r="AG24" s="365"/>
      <c r="AH24" s="365"/>
      <c r="AI24" s="365"/>
      <c r="AJ24" s="365"/>
      <c r="AK24" s="365"/>
      <c r="AL24" s="365"/>
      <c r="AM24" s="365"/>
      <c r="AN24" s="365"/>
      <c r="AO24" s="365"/>
      <c r="AP24" s="365"/>
      <c r="AQ24" s="365"/>
      <c r="AR24" s="365"/>
      <c r="AS24" s="365"/>
      <c r="AT24" s="365"/>
      <c r="AU24" s="365"/>
      <c r="AV24" s="365"/>
      <c r="AW24" s="362"/>
      <c r="AX24" s="366"/>
      <c r="AY24" s="366"/>
      <c r="AZ24" s="289"/>
      <c r="BA24" s="367"/>
      <c r="BB24" s="290">
        <f t="shared" si="2"/>
        <v>60</v>
      </c>
      <c r="BC24" s="290">
        <f t="shared" si="3"/>
        <v>1</v>
      </c>
    </row>
    <row r="25" spans="1:55">
      <c r="A25" s="362" t="s">
        <v>11</v>
      </c>
      <c r="B25" s="363" t="s">
        <v>486</v>
      </c>
      <c r="C25" s="362" t="s">
        <v>122</v>
      </c>
      <c r="D25" s="364" t="s">
        <v>292</v>
      </c>
      <c r="E25" s="365"/>
      <c r="F25" s="365"/>
      <c r="G25" s="365">
        <v>1</v>
      </c>
      <c r="H25" s="365">
        <v>1</v>
      </c>
      <c r="I25" s="365">
        <v>1</v>
      </c>
      <c r="J25" s="365">
        <v>1</v>
      </c>
      <c r="K25" s="373">
        <v>0.55555555555555558</v>
      </c>
      <c r="L25" s="375">
        <f t="shared" si="10"/>
        <v>0</v>
      </c>
      <c r="M25" s="368">
        <f t="shared" si="1"/>
        <v>15</v>
      </c>
      <c r="N25" s="369">
        <v>0.56597222222222221</v>
      </c>
      <c r="O25" s="365"/>
      <c r="P25" s="365"/>
      <c r="Q25" s="365"/>
      <c r="R25" s="365"/>
      <c r="S25" s="365"/>
      <c r="T25" s="365"/>
      <c r="U25" s="365"/>
      <c r="V25" s="365"/>
      <c r="W25" s="365"/>
      <c r="X25" s="365"/>
      <c r="Y25" s="365"/>
      <c r="Z25" s="365"/>
      <c r="AA25" s="365"/>
      <c r="AB25" s="365"/>
      <c r="AC25" s="365">
        <v>10</v>
      </c>
      <c r="AD25" s="365">
        <v>5</v>
      </c>
      <c r="AE25" s="365"/>
      <c r="AF25" s="365"/>
      <c r="AG25" s="365"/>
      <c r="AH25" s="365"/>
      <c r="AI25" s="365"/>
      <c r="AJ25" s="365"/>
      <c r="AK25" s="365"/>
      <c r="AL25" s="365"/>
      <c r="AM25" s="365"/>
      <c r="AN25" s="365"/>
      <c r="AO25" s="365"/>
      <c r="AP25" s="365"/>
      <c r="AQ25" s="365"/>
      <c r="AR25" s="365"/>
      <c r="AS25" s="365"/>
      <c r="AT25" s="365"/>
      <c r="AU25" s="365"/>
      <c r="AV25" s="365"/>
      <c r="AW25" s="362"/>
      <c r="AX25" s="366"/>
      <c r="AY25" s="366"/>
      <c r="AZ25" s="289"/>
      <c r="BA25" s="367"/>
      <c r="BB25" s="290">
        <f t="shared" si="2"/>
        <v>15</v>
      </c>
      <c r="BC25" s="290">
        <f t="shared" si="3"/>
        <v>0.25</v>
      </c>
    </row>
    <row r="26" spans="1:55">
      <c r="A26" s="362" t="s">
        <v>11</v>
      </c>
      <c r="B26" s="363" t="s">
        <v>489</v>
      </c>
      <c r="C26" s="362" t="s">
        <v>122</v>
      </c>
      <c r="D26" s="364" t="s">
        <v>292</v>
      </c>
      <c r="E26" s="365"/>
      <c r="F26" s="365"/>
      <c r="G26" s="365">
        <v>1</v>
      </c>
      <c r="H26" s="365">
        <v>1</v>
      </c>
      <c r="I26" s="365">
        <v>1</v>
      </c>
      <c r="J26" s="365">
        <v>1</v>
      </c>
      <c r="K26" s="373">
        <v>0.56597222222222221</v>
      </c>
      <c r="L26" s="375">
        <f t="shared" si="10"/>
        <v>14.999999999999947</v>
      </c>
      <c r="M26" s="368">
        <f t="shared" si="1"/>
        <v>10</v>
      </c>
      <c r="N26" s="369">
        <v>0.57986111111111105</v>
      </c>
      <c r="O26" s="365"/>
      <c r="P26" s="365"/>
      <c r="Q26" s="365"/>
      <c r="R26" s="365"/>
      <c r="S26" s="365"/>
      <c r="T26" s="365"/>
      <c r="U26" s="365"/>
      <c r="V26" s="365"/>
      <c r="W26" s="365"/>
      <c r="X26" s="365"/>
      <c r="Y26" s="365"/>
      <c r="Z26" s="365"/>
      <c r="AA26" s="365"/>
      <c r="AB26" s="365"/>
      <c r="AC26" s="365"/>
      <c r="AD26" s="365"/>
      <c r="AE26" s="365">
        <v>10</v>
      </c>
      <c r="AF26" s="365"/>
      <c r="AG26" s="365"/>
      <c r="AH26" s="365"/>
      <c r="AI26" s="365"/>
      <c r="AJ26" s="365"/>
      <c r="AK26" s="365"/>
      <c r="AL26" s="365"/>
      <c r="AM26" s="365"/>
      <c r="AN26" s="365"/>
      <c r="AO26" s="365"/>
      <c r="AP26" s="365"/>
      <c r="AQ26" s="365"/>
      <c r="AR26" s="365"/>
      <c r="AS26" s="365"/>
      <c r="AT26" s="365"/>
      <c r="AU26" s="365"/>
      <c r="AV26" s="365"/>
      <c r="AW26" s="362"/>
      <c r="AX26" s="366"/>
      <c r="AY26" s="366"/>
      <c r="AZ26" s="289"/>
      <c r="BA26" s="367"/>
      <c r="BB26" s="290">
        <f t="shared" si="2"/>
        <v>10</v>
      </c>
      <c r="BC26" s="290">
        <f t="shared" si="3"/>
        <v>0.16666666666666666</v>
      </c>
    </row>
    <row r="27" spans="1:55" ht="14.25" customHeight="1">
      <c r="A27" s="362" t="s">
        <v>347</v>
      </c>
      <c r="B27" s="363" t="s">
        <v>477</v>
      </c>
      <c r="C27" s="362" t="s">
        <v>122</v>
      </c>
      <c r="D27" s="364" t="s">
        <v>292</v>
      </c>
      <c r="E27" s="365"/>
      <c r="F27" s="365"/>
      <c r="G27" s="365"/>
      <c r="H27" s="365"/>
      <c r="I27" s="365"/>
      <c r="J27" s="365"/>
      <c r="K27" s="373">
        <v>0.58333333333333337</v>
      </c>
      <c r="L27" s="375">
        <f t="shared" si="10"/>
        <v>25.000000000000071</v>
      </c>
      <c r="M27" s="368">
        <f t="shared" si="1"/>
        <v>10</v>
      </c>
      <c r="N27" s="369">
        <v>0.59027777777777779</v>
      </c>
      <c r="O27" s="365"/>
      <c r="P27" s="365"/>
      <c r="Q27" s="365"/>
      <c r="R27" s="365"/>
      <c r="S27" s="365"/>
      <c r="T27" s="365"/>
      <c r="U27" s="365"/>
      <c r="V27" s="365"/>
      <c r="W27" s="365"/>
      <c r="X27" s="365"/>
      <c r="Y27" s="365"/>
      <c r="Z27" s="365"/>
      <c r="AA27" s="365"/>
      <c r="AB27" s="365"/>
      <c r="AC27" s="365"/>
      <c r="AD27" s="365"/>
      <c r="AE27" s="365"/>
      <c r="AF27" s="365">
        <v>10</v>
      </c>
      <c r="AG27" s="365"/>
      <c r="AH27" s="365"/>
      <c r="AI27" s="365"/>
      <c r="AJ27" s="365"/>
      <c r="AK27" s="365"/>
      <c r="AL27" s="365"/>
      <c r="AM27" s="365"/>
      <c r="AN27" s="365"/>
      <c r="AO27" s="365"/>
      <c r="AP27" s="365"/>
      <c r="AQ27" s="365"/>
      <c r="AR27" s="365"/>
      <c r="AS27" s="365"/>
      <c r="AT27" s="365"/>
      <c r="AU27" s="365"/>
      <c r="AV27" s="365"/>
      <c r="AW27" s="362"/>
      <c r="AX27" s="366"/>
      <c r="AY27" s="366"/>
      <c r="AZ27" s="289"/>
      <c r="BA27" s="367"/>
      <c r="BB27" s="290">
        <f t="shared" ref="BB27" si="17">SUM(O27:BA27)</f>
        <v>10</v>
      </c>
      <c r="BC27" s="290">
        <f t="shared" ref="BC27" si="18">BB27/60</f>
        <v>0.16666666666666666</v>
      </c>
    </row>
    <row r="28" spans="1:55">
      <c r="A28" s="362" t="s">
        <v>8</v>
      </c>
      <c r="B28" s="363" t="s">
        <v>460</v>
      </c>
      <c r="C28" s="362" t="s">
        <v>122</v>
      </c>
      <c r="D28" s="364" t="s">
        <v>292</v>
      </c>
      <c r="E28" s="365"/>
      <c r="F28" s="365">
        <v>1</v>
      </c>
      <c r="G28" s="365">
        <v>1</v>
      </c>
      <c r="H28" s="365"/>
      <c r="I28" s="365"/>
      <c r="J28" s="365">
        <v>1</v>
      </c>
      <c r="K28" s="373">
        <v>0.60416666666666663</v>
      </c>
      <c r="L28" s="375">
        <f t="shared" si="10"/>
        <v>29.999999999999893</v>
      </c>
      <c r="M28" s="368">
        <f t="shared" si="1"/>
        <v>70</v>
      </c>
      <c r="N28" s="369">
        <v>0.65277777777777779</v>
      </c>
      <c r="O28" s="365"/>
      <c r="P28" s="365"/>
      <c r="Q28" s="365"/>
      <c r="R28" s="365"/>
      <c r="S28" s="365"/>
      <c r="T28" s="365"/>
      <c r="U28" s="365"/>
      <c r="V28" s="365"/>
      <c r="W28" s="365"/>
      <c r="X28" s="365"/>
      <c r="Y28" s="365"/>
      <c r="Z28" s="365"/>
      <c r="AA28" s="365"/>
      <c r="AB28" s="365"/>
      <c r="AC28" s="365"/>
      <c r="AD28" s="365"/>
      <c r="AE28" s="365"/>
      <c r="AF28" s="365">
        <v>30</v>
      </c>
      <c r="AG28" s="365">
        <v>10</v>
      </c>
      <c r="AH28" s="365"/>
      <c r="AI28" s="365">
        <v>10</v>
      </c>
      <c r="AJ28" s="365">
        <v>20</v>
      </c>
      <c r="AK28" s="365"/>
      <c r="AL28" s="365"/>
      <c r="AM28" s="365"/>
      <c r="AN28" s="365"/>
      <c r="AO28" s="365"/>
      <c r="AP28" s="365"/>
      <c r="AQ28" s="365"/>
      <c r="AR28" s="365"/>
      <c r="AS28" s="365"/>
      <c r="AT28" s="365"/>
      <c r="AU28" s="365"/>
      <c r="AV28" s="365"/>
      <c r="AW28" s="362"/>
      <c r="AX28" s="366"/>
      <c r="AY28" s="366"/>
      <c r="AZ28" s="289"/>
      <c r="BA28" s="367"/>
      <c r="BB28" s="290">
        <f t="shared" si="2"/>
        <v>70</v>
      </c>
      <c r="BC28" s="290">
        <f t="shared" si="3"/>
        <v>1.1666666666666667</v>
      </c>
    </row>
    <row r="29" spans="1:55">
      <c r="A29" s="362" t="s">
        <v>11</v>
      </c>
      <c r="B29" s="363" t="s">
        <v>482</v>
      </c>
      <c r="C29" s="362" t="s">
        <v>122</v>
      </c>
      <c r="D29" s="364" t="s">
        <v>309</v>
      </c>
      <c r="E29" s="365"/>
      <c r="F29" s="365"/>
      <c r="G29" s="365">
        <v>1</v>
      </c>
      <c r="H29" s="365">
        <v>1</v>
      </c>
      <c r="I29" s="365"/>
      <c r="J29" s="365"/>
      <c r="K29" s="373">
        <v>0.60416666666666663</v>
      </c>
      <c r="L29" s="375">
        <f t="shared" si="10"/>
        <v>0</v>
      </c>
      <c r="M29" s="368">
        <f t="shared" si="1"/>
        <v>15</v>
      </c>
      <c r="N29" s="369">
        <v>0.61458333333333337</v>
      </c>
      <c r="O29" s="365"/>
      <c r="P29" s="365"/>
      <c r="Q29" s="365"/>
      <c r="R29" s="365"/>
      <c r="S29" s="365"/>
      <c r="T29" s="365"/>
      <c r="U29" s="365"/>
      <c r="V29" s="365"/>
      <c r="W29" s="365"/>
      <c r="X29" s="365"/>
      <c r="Y29" s="365"/>
      <c r="Z29" s="365"/>
      <c r="AA29" s="365"/>
      <c r="AB29" s="365"/>
      <c r="AC29" s="365"/>
      <c r="AD29" s="365"/>
      <c r="AE29" s="365"/>
      <c r="AF29" s="365">
        <v>15</v>
      </c>
      <c r="AG29" s="365"/>
      <c r="AH29" s="365"/>
      <c r="AI29" s="365"/>
      <c r="AJ29" s="365"/>
      <c r="AK29" s="365"/>
      <c r="AL29" s="365"/>
      <c r="AM29" s="365"/>
      <c r="AN29" s="365"/>
      <c r="AO29" s="365"/>
      <c r="AP29" s="365"/>
      <c r="AQ29" s="365"/>
      <c r="AR29" s="365"/>
      <c r="AS29" s="365"/>
      <c r="AT29" s="365"/>
      <c r="AU29" s="365"/>
      <c r="AV29" s="365"/>
      <c r="AW29" s="362"/>
      <c r="AX29" s="366"/>
      <c r="AY29" s="366"/>
      <c r="AZ29" s="289"/>
      <c r="BA29" s="367"/>
      <c r="BB29" s="290">
        <f t="shared" ref="BB29" si="19">SUM(O29:BA29)</f>
        <v>15</v>
      </c>
      <c r="BC29" s="290">
        <f t="shared" ref="BC29" si="20">BB29/60</f>
        <v>0.25</v>
      </c>
    </row>
    <row r="30" spans="1:55">
      <c r="A30" s="362" t="s">
        <v>11</v>
      </c>
      <c r="B30" s="363" t="s">
        <v>300</v>
      </c>
      <c r="C30" s="362" t="s">
        <v>122</v>
      </c>
      <c r="D30" s="364" t="s">
        <v>129</v>
      </c>
      <c r="E30" s="365"/>
      <c r="F30" s="365"/>
      <c r="G30" s="365"/>
      <c r="H30" s="365">
        <v>1</v>
      </c>
      <c r="I30" s="365"/>
      <c r="J30" s="365"/>
      <c r="K30" s="373">
        <v>0.61805555555555558</v>
      </c>
      <c r="L30" s="375">
        <f t="shared" si="10"/>
        <v>20.000000000000089</v>
      </c>
      <c r="M30" s="368">
        <f t="shared" si="1"/>
        <v>25</v>
      </c>
      <c r="N30" s="369">
        <v>0.64583333333333337</v>
      </c>
      <c r="O30" s="365"/>
      <c r="P30" s="365"/>
      <c r="Q30" s="365"/>
      <c r="R30" s="365"/>
      <c r="S30" s="365"/>
      <c r="T30" s="365"/>
      <c r="U30" s="365"/>
      <c r="V30" s="365"/>
      <c r="W30" s="365"/>
      <c r="X30" s="365"/>
      <c r="Y30" s="365"/>
      <c r="Z30" s="365"/>
      <c r="AA30" s="365"/>
      <c r="AB30" s="365"/>
      <c r="AC30" s="365"/>
      <c r="AD30" s="365"/>
      <c r="AE30" s="371"/>
      <c r="AF30" s="365">
        <v>10</v>
      </c>
      <c r="AG30" s="365">
        <v>15</v>
      </c>
      <c r="AH30" s="365"/>
      <c r="AI30" s="365"/>
      <c r="AJ30" s="365"/>
      <c r="AK30" s="365"/>
      <c r="AL30" s="365"/>
      <c r="AM30" s="365"/>
      <c r="AN30" s="365"/>
      <c r="AO30" s="365"/>
      <c r="AP30" s="365"/>
      <c r="AQ30" s="365"/>
      <c r="AR30" s="365"/>
      <c r="AS30" s="365"/>
      <c r="AT30" s="365"/>
      <c r="AU30" s="365"/>
      <c r="AV30" s="365"/>
      <c r="AW30" s="362"/>
      <c r="AX30" s="366"/>
      <c r="AY30" s="366"/>
      <c r="AZ30" s="289"/>
      <c r="BA30" s="367"/>
      <c r="BB30" s="290">
        <f t="shared" si="2"/>
        <v>25</v>
      </c>
      <c r="BC30" s="290">
        <f t="shared" si="3"/>
        <v>0.41666666666666669</v>
      </c>
    </row>
    <row r="31" spans="1:55">
      <c r="A31" s="362" t="s">
        <v>8</v>
      </c>
      <c r="B31" s="363" t="s">
        <v>291</v>
      </c>
      <c r="C31" s="362" t="s">
        <v>122</v>
      </c>
      <c r="D31" s="364" t="s">
        <v>292</v>
      </c>
      <c r="E31" s="365"/>
      <c r="F31" s="365">
        <v>1</v>
      </c>
      <c r="G31" s="365">
        <v>1</v>
      </c>
      <c r="H31" s="365"/>
      <c r="I31" s="365"/>
      <c r="J31" s="365"/>
      <c r="K31" s="373">
        <v>0.625</v>
      </c>
      <c r="L31" s="375">
        <f t="shared" si="10"/>
        <v>9.9999999999999645</v>
      </c>
      <c r="M31" s="368">
        <f t="shared" si="1"/>
        <v>30</v>
      </c>
      <c r="N31" s="369">
        <v>0.64583333333333337</v>
      </c>
      <c r="O31" s="365"/>
      <c r="P31" s="365"/>
      <c r="Q31" s="365"/>
      <c r="R31" s="365"/>
      <c r="S31" s="365"/>
      <c r="T31" s="365"/>
      <c r="U31" s="365"/>
      <c r="V31" s="365"/>
      <c r="W31" s="365"/>
      <c r="X31" s="365"/>
      <c r="Y31" s="365"/>
      <c r="Z31" s="365"/>
      <c r="AA31" s="365"/>
      <c r="AB31" s="365"/>
      <c r="AC31" s="365"/>
      <c r="AD31" s="365"/>
      <c r="AE31" s="365"/>
      <c r="AF31" s="365"/>
      <c r="AG31" s="365">
        <v>30</v>
      </c>
      <c r="AH31" s="365"/>
      <c r="AI31" s="365"/>
      <c r="AJ31" s="365"/>
      <c r="AK31" s="365"/>
      <c r="AL31" s="365"/>
      <c r="AM31" s="365"/>
      <c r="AN31" s="365"/>
      <c r="AO31" s="365"/>
      <c r="AP31" s="365"/>
      <c r="AQ31" s="365"/>
      <c r="AR31" s="365"/>
      <c r="AS31" s="365"/>
      <c r="AT31" s="365"/>
      <c r="AU31" s="365"/>
      <c r="AV31" s="365"/>
      <c r="AW31" s="362"/>
      <c r="AX31" s="366"/>
      <c r="AY31" s="366"/>
      <c r="AZ31" s="289"/>
      <c r="BA31" s="367"/>
      <c r="BB31" s="290">
        <f t="shared" si="2"/>
        <v>30</v>
      </c>
      <c r="BC31" s="290">
        <f t="shared" si="3"/>
        <v>0.5</v>
      </c>
    </row>
    <row r="32" spans="1:55">
      <c r="A32" s="362" t="s">
        <v>8</v>
      </c>
      <c r="B32" s="363" t="s">
        <v>297</v>
      </c>
      <c r="C32" s="362" t="s">
        <v>122</v>
      </c>
      <c r="D32" s="364" t="s">
        <v>292</v>
      </c>
      <c r="E32" s="365"/>
      <c r="F32" s="365">
        <v>1</v>
      </c>
      <c r="G32" s="365">
        <v>1</v>
      </c>
      <c r="H32" s="365"/>
      <c r="I32" s="365"/>
      <c r="J32" s="365"/>
      <c r="K32" s="373">
        <v>0.625</v>
      </c>
      <c r="L32" s="375">
        <f t="shared" si="10"/>
        <v>0</v>
      </c>
      <c r="M32" s="368">
        <f t="shared" si="1"/>
        <v>10</v>
      </c>
      <c r="N32" s="369">
        <v>0.63194444444444442</v>
      </c>
      <c r="O32" s="365"/>
      <c r="P32" s="365"/>
      <c r="Q32" s="365"/>
      <c r="R32" s="365"/>
      <c r="S32" s="365"/>
      <c r="T32" s="365"/>
      <c r="U32" s="365"/>
      <c r="V32" s="365"/>
      <c r="W32" s="365"/>
      <c r="X32" s="365"/>
      <c r="Y32" s="365"/>
      <c r="Z32" s="365"/>
      <c r="AA32" s="365"/>
      <c r="AB32" s="365"/>
      <c r="AC32" s="365"/>
      <c r="AD32" s="365"/>
      <c r="AE32" s="365"/>
      <c r="AF32" s="365"/>
      <c r="AG32" s="365">
        <v>10</v>
      </c>
      <c r="AH32" s="365"/>
      <c r="AI32" s="365"/>
      <c r="AJ32" s="365"/>
      <c r="AK32" s="365"/>
      <c r="AL32" s="365"/>
      <c r="AM32" s="365"/>
      <c r="AN32" s="365"/>
      <c r="AO32" s="365"/>
      <c r="AP32" s="365"/>
      <c r="AQ32" s="365"/>
      <c r="AR32" s="365"/>
      <c r="AS32" s="365"/>
      <c r="AT32" s="365"/>
      <c r="AU32" s="365"/>
      <c r="AV32" s="365"/>
      <c r="AW32" s="362"/>
      <c r="AX32" s="366"/>
      <c r="AY32" s="366"/>
      <c r="AZ32" s="289"/>
      <c r="BA32" s="367"/>
      <c r="BB32" s="290">
        <f t="shared" ref="BB32" si="21">SUM(O32:BA32)</f>
        <v>10</v>
      </c>
      <c r="BC32" s="290">
        <f t="shared" ref="BC32" si="22">BB32/60</f>
        <v>0.16666666666666666</v>
      </c>
    </row>
    <row r="33" spans="1:55">
      <c r="A33" s="362" t="s">
        <v>8</v>
      </c>
      <c r="B33" s="363" t="s">
        <v>298</v>
      </c>
      <c r="C33" s="362" t="s">
        <v>122</v>
      </c>
      <c r="D33" s="364" t="s">
        <v>292</v>
      </c>
      <c r="E33" s="365"/>
      <c r="F33" s="365">
        <v>1</v>
      </c>
      <c r="G33" s="365"/>
      <c r="H33" s="365"/>
      <c r="I33" s="365"/>
      <c r="J33" s="365"/>
      <c r="K33" s="373">
        <v>0.625</v>
      </c>
      <c r="L33" s="375">
        <f t="shared" si="10"/>
        <v>0</v>
      </c>
      <c r="M33" s="368">
        <f t="shared" si="1"/>
        <v>5</v>
      </c>
      <c r="N33" s="369">
        <v>0.62847222222222221</v>
      </c>
      <c r="O33" s="365"/>
      <c r="P33" s="365"/>
      <c r="Q33" s="365"/>
      <c r="R33" s="365"/>
      <c r="S33" s="365"/>
      <c r="T33" s="365"/>
      <c r="U33" s="365"/>
      <c r="V33" s="365"/>
      <c r="W33" s="365"/>
      <c r="X33" s="365"/>
      <c r="Y33" s="365"/>
      <c r="Z33" s="365"/>
      <c r="AA33" s="365"/>
      <c r="AB33" s="365"/>
      <c r="AC33" s="365"/>
      <c r="AD33" s="365"/>
      <c r="AE33" s="365"/>
      <c r="AF33" s="365"/>
      <c r="AG33" s="365">
        <v>5</v>
      </c>
      <c r="AH33" s="365"/>
      <c r="AI33" s="365"/>
      <c r="AJ33" s="365"/>
      <c r="AK33" s="365"/>
      <c r="AL33" s="365"/>
      <c r="AM33" s="365"/>
      <c r="AN33" s="365"/>
      <c r="AO33" s="365"/>
      <c r="AP33" s="365"/>
      <c r="AQ33" s="365"/>
      <c r="AR33" s="365"/>
      <c r="AS33" s="365"/>
      <c r="AT33" s="365"/>
      <c r="AU33" s="365"/>
      <c r="AV33" s="365"/>
      <c r="AW33" s="362"/>
      <c r="AX33" s="366"/>
      <c r="AY33" s="366"/>
      <c r="AZ33" s="289"/>
      <c r="BA33" s="367"/>
      <c r="BB33" s="290">
        <f t="shared" ref="BB33:BB36" si="23">SUM(O33:BA33)</f>
        <v>5</v>
      </c>
      <c r="BC33" s="290">
        <f t="shared" ref="BC33:BC36" si="24">BB33/60</f>
        <v>8.3333333333333329E-2</v>
      </c>
    </row>
    <row r="34" spans="1:55">
      <c r="A34" s="362" t="s">
        <v>348</v>
      </c>
      <c r="B34" s="363" t="s">
        <v>491</v>
      </c>
      <c r="C34" s="362" t="s">
        <v>122</v>
      </c>
      <c r="D34" s="364" t="s">
        <v>129</v>
      </c>
      <c r="E34" s="365"/>
      <c r="F34" s="365">
        <v>1</v>
      </c>
      <c r="G34" s="365"/>
      <c r="H34" s="365"/>
      <c r="I34" s="365"/>
      <c r="J34" s="365"/>
      <c r="K34" s="373">
        <v>0.64583333333333337</v>
      </c>
      <c r="L34" s="375">
        <f t="shared" si="10"/>
        <v>30.000000000000053</v>
      </c>
      <c r="M34" s="368">
        <f t="shared" ref="M34:M63" si="25">BB34</f>
        <v>15</v>
      </c>
      <c r="N34" s="369">
        <v>0.35416666666666669</v>
      </c>
      <c r="O34" s="365"/>
      <c r="P34" s="365"/>
      <c r="Q34" s="365"/>
      <c r="R34" s="365"/>
      <c r="S34" s="365"/>
      <c r="T34" s="365"/>
      <c r="U34" s="365"/>
      <c r="V34" s="365"/>
      <c r="W34" s="365"/>
      <c r="X34" s="365"/>
      <c r="Y34" s="365"/>
      <c r="Z34" s="365"/>
      <c r="AA34" s="365"/>
      <c r="AB34" s="365"/>
      <c r="AC34" s="365"/>
      <c r="AD34" s="365"/>
      <c r="AE34" s="365"/>
      <c r="AF34" s="365"/>
      <c r="AG34" s="365"/>
      <c r="AH34" s="365">
        <v>15</v>
      </c>
      <c r="AI34" s="365"/>
      <c r="AJ34" s="365"/>
      <c r="AK34" s="365"/>
      <c r="AL34" s="365"/>
      <c r="AM34" s="365"/>
      <c r="AN34" s="365"/>
      <c r="AO34" s="365"/>
      <c r="AP34" s="365"/>
      <c r="AQ34" s="365"/>
      <c r="AR34" s="365"/>
      <c r="AS34" s="365"/>
      <c r="AT34" s="365"/>
      <c r="AU34" s="365"/>
      <c r="AV34" s="365"/>
      <c r="AW34" s="362"/>
      <c r="AX34" s="366"/>
      <c r="AY34" s="366"/>
      <c r="AZ34" s="289"/>
      <c r="BA34" s="367"/>
      <c r="BB34" s="290">
        <f t="shared" si="23"/>
        <v>15</v>
      </c>
      <c r="BC34" s="290">
        <f t="shared" si="24"/>
        <v>0.25</v>
      </c>
    </row>
    <row r="35" spans="1:55">
      <c r="A35" s="362" t="s">
        <v>8</v>
      </c>
      <c r="B35" s="363" t="s">
        <v>461</v>
      </c>
      <c r="C35" s="362" t="s">
        <v>122</v>
      </c>
      <c r="D35" s="364" t="s">
        <v>129</v>
      </c>
      <c r="E35" s="365"/>
      <c r="F35" s="365">
        <v>1</v>
      </c>
      <c r="G35" s="365"/>
      <c r="H35" s="365"/>
      <c r="I35" s="365"/>
      <c r="J35" s="365">
        <v>1</v>
      </c>
      <c r="K35" s="373">
        <v>0.64583333333333337</v>
      </c>
      <c r="L35" s="375">
        <f t="shared" si="10"/>
        <v>0</v>
      </c>
      <c r="M35" s="368">
        <f t="shared" si="25"/>
        <v>50</v>
      </c>
      <c r="N35" s="369">
        <v>0.68055555555555547</v>
      </c>
      <c r="O35" s="365"/>
      <c r="P35" s="365"/>
      <c r="Q35" s="365"/>
      <c r="R35" s="365"/>
      <c r="S35" s="365"/>
      <c r="T35" s="365"/>
      <c r="U35" s="365"/>
      <c r="V35" s="365"/>
      <c r="W35" s="365"/>
      <c r="X35" s="365"/>
      <c r="Y35" s="365"/>
      <c r="Z35" s="365"/>
      <c r="AA35" s="365"/>
      <c r="AB35" s="365"/>
      <c r="AC35" s="365"/>
      <c r="AD35" s="365"/>
      <c r="AE35" s="365"/>
      <c r="AF35" s="365"/>
      <c r="AG35" s="365"/>
      <c r="AH35" s="365">
        <v>50</v>
      </c>
      <c r="AI35" s="365"/>
      <c r="AJ35" s="365"/>
      <c r="AK35" s="365"/>
      <c r="AL35" s="365"/>
      <c r="AM35" s="365"/>
      <c r="AN35" s="365"/>
      <c r="AO35" s="365"/>
      <c r="AP35" s="365"/>
      <c r="AQ35" s="365"/>
      <c r="AR35" s="365"/>
      <c r="AS35" s="365"/>
      <c r="AT35" s="365"/>
      <c r="AU35" s="365"/>
      <c r="AV35" s="365"/>
      <c r="AW35" s="362"/>
      <c r="AX35" s="366"/>
      <c r="AY35" s="366"/>
      <c r="AZ35" s="289"/>
      <c r="BA35" s="367"/>
      <c r="BB35" s="290">
        <f t="shared" si="23"/>
        <v>50</v>
      </c>
      <c r="BC35" s="290">
        <f t="shared" si="24"/>
        <v>0.83333333333333337</v>
      </c>
    </row>
    <row r="36" spans="1:55">
      <c r="A36" s="362" t="s">
        <v>44</v>
      </c>
      <c r="B36" s="363" t="s">
        <v>153</v>
      </c>
      <c r="C36" s="362" t="s">
        <v>338</v>
      </c>
      <c r="D36" s="364" t="s">
        <v>292</v>
      </c>
      <c r="E36" s="365">
        <v>1</v>
      </c>
      <c r="F36" s="365">
        <v>1</v>
      </c>
      <c r="G36" s="365"/>
      <c r="H36" s="365"/>
      <c r="I36" s="365"/>
      <c r="J36" s="365"/>
      <c r="K36" s="373">
        <v>0.64583333333333337</v>
      </c>
      <c r="L36" s="375">
        <f t="shared" si="10"/>
        <v>0</v>
      </c>
      <c r="M36" s="368">
        <f t="shared" si="25"/>
        <v>5</v>
      </c>
      <c r="N36" s="369">
        <v>0.64930555555555558</v>
      </c>
      <c r="O36" s="365"/>
      <c r="P36" s="365"/>
      <c r="Q36" s="365"/>
      <c r="R36" s="365"/>
      <c r="S36" s="365"/>
      <c r="T36" s="365"/>
      <c r="U36" s="365"/>
      <c r="V36" s="365"/>
      <c r="W36" s="365"/>
      <c r="X36" s="365"/>
      <c r="Y36" s="365"/>
      <c r="Z36" s="365"/>
      <c r="AA36" s="365"/>
      <c r="AB36" s="365"/>
      <c r="AC36" s="365"/>
      <c r="AD36" s="365"/>
      <c r="AE36" s="365"/>
      <c r="AF36" s="365"/>
      <c r="AG36" s="365"/>
      <c r="AH36" s="365">
        <v>5</v>
      </c>
      <c r="AI36" s="365"/>
      <c r="AJ36" s="365"/>
      <c r="AK36" s="365"/>
      <c r="AL36" s="365"/>
      <c r="AM36" s="365"/>
      <c r="AN36" s="365"/>
      <c r="AO36" s="365"/>
      <c r="AP36" s="365"/>
      <c r="AQ36" s="365"/>
      <c r="AR36" s="365"/>
      <c r="AS36" s="365"/>
      <c r="AT36" s="365"/>
      <c r="AU36" s="365"/>
      <c r="AV36" s="365"/>
      <c r="AW36" s="362"/>
      <c r="AX36" s="366"/>
      <c r="AY36" s="366"/>
      <c r="AZ36" s="289"/>
      <c r="BA36" s="367"/>
      <c r="BB36" s="290">
        <f t="shared" si="23"/>
        <v>5</v>
      </c>
      <c r="BC36" s="290">
        <f t="shared" si="24"/>
        <v>8.3333333333333329E-2</v>
      </c>
    </row>
    <row r="37" spans="1:55">
      <c r="A37" s="362" t="s">
        <v>8</v>
      </c>
      <c r="B37" s="363" t="s">
        <v>296</v>
      </c>
      <c r="C37" s="362" t="s">
        <v>122</v>
      </c>
      <c r="D37" s="364" t="s">
        <v>292</v>
      </c>
      <c r="E37" s="365"/>
      <c r="F37" s="365">
        <v>1</v>
      </c>
      <c r="G37" s="365">
        <v>1</v>
      </c>
      <c r="H37" s="365"/>
      <c r="I37" s="365"/>
      <c r="J37" s="365"/>
      <c r="K37" s="373">
        <v>0.66666666666666663</v>
      </c>
      <c r="L37" s="375">
        <f t="shared" si="10"/>
        <v>29.999999999999893</v>
      </c>
      <c r="M37" s="368">
        <f t="shared" si="25"/>
        <v>20</v>
      </c>
      <c r="N37" s="369">
        <v>0.68055555555555547</v>
      </c>
      <c r="O37" s="365"/>
      <c r="P37" s="365"/>
      <c r="Q37" s="365"/>
      <c r="R37" s="365"/>
      <c r="S37" s="365"/>
      <c r="T37" s="365"/>
      <c r="U37" s="365"/>
      <c r="V37" s="365"/>
      <c r="W37" s="365"/>
      <c r="X37" s="365"/>
      <c r="Y37" s="365"/>
      <c r="Z37" s="365"/>
      <c r="AA37" s="365"/>
      <c r="AB37" s="365"/>
      <c r="AC37" s="365"/>
      <c r="AD37" s="365"/>
      <c r="AE37" s="365"/>
      <c r="AF37" s="365"/>
      <c r="AG37" s="365"/>
      <c r="AH37" s="365"/>
      <c r="AI37" s="365">
        <v>20</v>
      </c>
      <c r="AJ37" s="365"/>
      <c r="AK37" s="365"/>
      <c r="AL37" s="365"/>
      <c r="AM37" s="365"/>
      <c r="AN37" s="365"/>
      <c r="AO37" s="365"/>
      <c r="AP37" s="365"/>
      <c r="AQ37" s="365"/>
      <c r="AR37" s="365"/>
      <c r="AS37" s="365"/>
      <c r="AT37" s="365"/>
      <c r="AU37" s="365"/>
      <c r="AV37" s="365"/>
      <c r="AW37" s="362"/>
      <c r="AX37" s="366"/>
      <c r="AY37" s="366"/>
      <c r="AZ37" s="289"/>
      <c r="BA37" s="367"/>
      <c r="BB37" s="290">
        <f t="shared" si="2"/>
        <v>20</v>
      </c>
      <c r="BC37" s="290">
        <f t="shared" si="3"/>
        <v>0.33333333333333331</v>
      </c>
    </row>
    <row r="38" spans="1:55">
      <c r="A38" s="362" t="s">
        <v>8</v>
      </c>
      <c r="B38" s="363" t="s">
        <v>295</v>
      </c>
      <c r="C38" s="362" t="s">
        <v>323</v>
      </c>
      <c r="D38" s="364" t="s">
        <v>292</v>
      </c>
      <c r="E38" s="365"/>
      <c r="F38" s="365"/>
      <c r="G38" s="365">
        <v>1</v>
      </c>
      <c r="H38" s="365"/>
      <c r="I38" s="365"/>
      <c r="J38" s="365"/>
      <c r="K38" s="373">
        <v>0.66666666666666663</v>
      </c>
      <c r="L38" s="375">
        <f t="shared" si="10"/>
        <v>0</v>
      </c>
      <c r="M38" s="368">
        <f t="shared" si="25"/>
        <v>30</v>
      </c>
      <c r="N38" s="369">
        <v>0.6875</v>
      </c>
      <c r="O38" s="365"/>
      <c r="P38" s="365"/>
      <c r="Q38" s="365"/>
      <c r="R38" s="365"/>
      <c r="S38" s="365"/>
      <c r="T38" s="365"/>
      <c r="U38" s="365"/>
      <c r="V38" s="365"/>
      <c r="W38" s="365"/>
      <c r="X38" s="365"/>
      <c r="Y38" s="365"/>
      <c r="Z38" s="365"/>
      <c r="AA38" s="365"/>
      <c r="AB38" s="365"/>
      <c r="AC38" s="365"/>
      <c r="AD38" s="365"/>
      <c r="AE38" s="365"/>
      <c r="AF38" s="365"/>
      <c r="AG38" s="365"/>
      <c r="AH38" s="365"/>
      <c r="AI38" s="365">
        <v>30</v>
      </c>
      <c r="AJ38" s="365"/>
      <c r="AK38" s="365"/>
      <c r="AL38" s="365"/>
      <c r="AM38" s="365"/>
      <c r="AN38" s="365"/>
      <c r="AO38" s="365"/>
      <c r="AP38" s="365"/>
      <c r="AQ38" s="365"/>
      <c r="AR38" s="365"/>
      <c r="AS38" s="365"/>
      <c r="AT38" s="365"/>
      <c r="AU38" s="365"/>
      <c r="AV38" s="365"/>
      <c r="AW38" s="362"/>
      <c r="AX38" s="366"/>
      <c r="AY38" s="366"/>
      <c r="AZ38" s="289"/>
      <c r="BA38" s="367"/>
      <c r="BB38" s="290">
        <f t="shared" si="2"/>
        <v>30</v>
      </c>
      <c r="BC38" s="290">
        <f t="shared" si="3"/>
        <v>0.5</v>
      </c>
    </row>
    <row r="39" spans="1:55" ht="25.5">
      <c r="A39" s="362" t="s">
        <v>348</v>
      </c>
      <c r="B39" s="363" t="s">
        <v>471</v>
      </c>
      <c r="C39" s="362" t="s">
        <v>122</v>
      </c>
      <c r="D39" s="364" t="s">
        <v>292</v>
      </c>
      <c r="E39" s="365"/>
      <c r="F39" s="365">
        <v>1</v>
      </c>
      <c r="G39" s="365">
        <v>1</v>
      </c>
      <c r="H39" s="365"/>
      <c r="I39" s="365"/>
      <c r="J39" s="365"/>
      <c r="K39" s="373">
        <v>0.66666666666666663</v>
      </c>
      <c r="L39" s="375">
        <f t="shared" si="10"/>
        <v>0</v>
      </c>
      <c r="M39" s="368">
        <f t="shared" si="25"/>
        <v>5</v>
      </c>
      <c r="N39" s="369">
        <v>0.67013888888888884</v>
      </c>
      <c r="O39" s="365"/>
      <c r="P39" s="365"/>
      <c r="Q39" s="365"/>
      <c r="R39" s="365"/>
      <c r="S39" s="365"/>
      <c r="T39" s="365"/>
      <c r="U39" s="365"/>
      <c r="V39" s="365"/>
      <c r="W39" s="365"/>
      <c r="X39" s="365"/>
      <c r="Y39" s="365"/>
      <c r="Z39" s="365"/>
      <c r="AA39" s="365"/>
      <c r="AB39" s="365"/>
      <c r="AC39" s="365"/>
      <c r="AD39" s="365"/>
      <c r="AE39" s="365"/>
      <c r="AF39" s="365"/>
      <c r="AG39" s="365"/>
      <c r="AH39" s="365"/>
      <c r="AI39" s="365">
        <v>5</v>
      </c>
      <c r="AJ39" s="365"/>
      <c r="AK39" s="365"/>
      <c r="AL39" s="365"/>
      <c r="AM39" s="365"/>
      <c r="AN39" s="365"/>
      <c r="AO39" s="365"/>
      <c r="AP39" s="365"/>
      <c r="AQ39" s="365"/>
      <c r="AR39" s="365"/>
      <c r="AS39" s="365"/>
      <c r="AT39" s="365"/>
      <c r="AU39" s="365"/>
      <c r="AV39" s="365"/>
      <c r="AW39" s="362"/>
      <c r="AX39" s="366"/>
      <c r="AY39" s="366"/>
      <c r="AZ39" s="289"/>
      <c r="BA39" s="367"/>
      <c r="BB39" s="290">
        <f t="shared" ref="BB39" si="26">SUM(O39:BA39)</f>
        <v>5</v>
      </c>
      <c r="BC39" s="290">
        <f t="shared" ref="BC39" si="27">BB39/60</f>
        <v>8.3333333333333329E-2</v>
      </c>
    </row>
    <row r="40" spans="1:55">
      <c r="A40" s="362" t="s">
        <v>348</v>
      </c>
      <c r="B40" s="363" t="s">
        <v>473</v>
      </c>
      <c r="C40" s="362" t="s">
        <v>131</v>
      </c>
      <c r="D40" s="364" t="s">
        <v>292</v>
      </c>
      <c r="E40" s="365"/>
      <c r="F40" s="365">
        <v>1</v>
      </c>
      <c r="G40" s="365">
        <v>1</v>
      </c>
      <c r="H40" s="365"/>
      <c r="I40" s="365"/>
      <c r="J40" s="365"/>
      <c r="K40" s="373">
        <v>0.66666666666666663</v>
      </c>
      <c r="L40" s="375">
        <f t="shared" si="10"/>
        <v>0</v>
      </c>
      <c r="M40" s="368">
        <f t="shared" si="25"/>
        <v>5</v>
      </c>
      <c r="N40" s="369">
        <v>0.67013888888888884</v>
      </c>
      <c r="O40" s="365"/>
      <c r="P40" s="365"/>
      <c r="Q40" s="365"/>
      <c r="R40" s="365"/>
      <c r="S40" s="365"/>
      <c r="T40" s="365"/>
      <c r="U40" s="365"/>
      <c r="V40" s="365"/>
      <c r="W40" s="365"/>
      <c r="X40" s="365"/>
      <c r="Y40" s="365"/>
      <c r="Z40" s="365"/>
      <c r="AA40" s="365"/>
      <c r="AB40" s="365"/>
      <c r="AC40" s="365"/>
      <c r="AD40" s="365"/>
      <c r="AE40" s="365"/>
      <c r="AF40" s="365"/>
      <c r="AG40" s="365"/>
      <c r="AH40" s="365"/>
      <c r="AI40" s="365">
        <v>5</v>
      </c>
      <c r="AJ40" s="365"/>
      <c r="AK40" s="365"/>
      <c r="AL40" s="365"/>
      <c r="AM40" s="365"/>
      <c r="AN40" s="365"/>
      <c r="AO40" s="365"/>
      <c r="AP40" s="365"/>
      <c r="AQ40" s="365"/>
      <c r="AR40" s="365"/>
      <c r="AS40" s="365"/>
      <c r="AT40" s="365"/>
      <c r="AU40" s="365"/>
      <c r="AV40" s="365"/>
      <c r="AW40" s="362"/>
      <c r="AX40" s="366"/>
      <c r="AY40" s="366"/>
      <c r="AZ40" s="289"/>
      <c r="BA40" s="367"/>
      <c r="BB40" s="290">
        <f t="shared" si="2"/>
        <v>5</v>
      </c>
      <c r="BC40" s="290">
        <f t="shared" si="3"/>
        <v>8.3333333333333329E-2</v>
      </c>
    </row>
    <row r="41" spans="1:55">
      <c r="A41" s="362" t="s">
        <v>8</v>
      </c>
      <c r="B41" s="363" t="s">
        <v>474</v>
      </c>
      <c r="C41" s="362" t="s">
        <v>122</v>
      </c>
      <c r="D41" s="364" t="s">
        <v>309</v>
      </c>
      <c r="E41" s="365"/>
      <c r="F41" s="365">
        <v>1</v>
      </c>
      <c r="G41" s="365">
        <v>1</v>
      </c>
      <c r="H41" s="365">
        <v>1</v>
      </c>
      <c r="I41" s="365">
        <v>1</v>
      </c>
      <c r="J41" s="365">
        <v>1</v>
      </c>
      <c r="K41" s="373">
        <v>0.66666666666666663</v>
      </c>
      <c r="L41" s="375">
        <f t="shared" si="10"/>
        <v>0</v>
      </c>
      <c r="M41" s="368">
        <f t="shared" si="25"/>
        <v>30</v>
      </c>
      <c r="N41" s="369">
        <v>0.6875</v>
      </c>
      <c r="O41" s="365"/>
      <c r="P41" s="365"/>
      <c r="Q41" s="365"/>
      <c r="R41" s="365"/>
      <c r="S41" s="365"/>
      <c r="T41" s="365"/>
      <c r="U41" s="365"/>
      <c r="V41" s="365"/>
      <c r="W41" s="365"/>
      <c r="X41" s="365"/>
      <c r="Y41" s="365"/>
      <c r="Z41" s="365"/>
      <c r="AA41" s="365"/>
      <c r="AB41" s="365"/>
      <c r="AC41" s="365"/>
      <c r="AD41" s="365"/>
      <c r="AE41" s="365"/>
      <c r="AF41" s="365"/>
      <c r="AG41" s="365"/>
      <c r="AH41" s="365"/>
      <c r="AI41" s="365"/>
      <c r="AJ41" s="365">
        <v>30</v>
      </c>
      <c r="AK41" s="365"/>
      <c r="AL41" s="365"/>
      <c r="AM41" s="365"/>
      <c r="AN41" s="365"/>
      <c r="AO41" s="365"/>
      <c r="AP41" s="365"/>
      <c r="AQ41" s="365"/>
      <c r="AR41" s="365"/>
      <c r="AS41" s="365"/>
      <c r="AT41" s="365"/>
      <c r="AU41" s="365"/>
      <c r="AV41" s="365"/>
      <c r="AW41" s="362"/>
      <c r="AX41" s="366"/>
      <c r="AY41" s="366"/>
      <c r="AZ41" s="289"/>
      <c r="BA41" s="367"/>
      <c r="BB41" s="290">
        <f t="shared" si="2"/>
        <v>30</v>
      </c>
      <c r="BC41" s="290">
        <f t="shared" si="3"/>
        <v>0.5</v>
      </c>
    </row>
    <row r="42" spans="1:55">
      <c r="A42" s="362" t="s">
        <v>347</v>
      </c>
      <c r="B42" s="363" t="s">
        <v>151</v>
      </c>
      <c r="C42" s="362" t="s">
        <v>122</v>
      </c>
      <c r="D42" s="364" t="s">
        <v>292</v>
      </c>
      <c r="E42" s="365">
        <v>1</v>
      </c>
      <c r="F42" s="365">
        <v>1</v>
      </c>
      <c r="G42" s="365">
        <v>1</v>
      </c>
      <c r="H42" s="365">
        <v>1</v>
      </c>
      <c r="I42" s="365">
        <v>1</v>
      </c>
      <c r="J42" s="365">
        <v>1</v>
      </c>
      <c r="K42" s="373">
        <v>0.66666666666666663</v>
      </c>
      <c r="L42" s="375">
        <f t="shared" si="10"/>
        <v>0</v>
      </c>
      <c r="M42" s="368">
        <f t="shared" si="25"/>
        <v>20</v>
      </c>
      <c r="N42" s="369">
        <v>0.68055555555555547</v>
      </c>
      <c r="O42" s="365"/>
      <c r="P42" s="365"/>
      <c r="Q42" s="365"/>
      <c r="R42" s="365"/>
      <c r="S42" s="365"/>
      <c r="T42" s="365"/>
      <c r="U42" s="365"/>
      <c r="V42" s="372"/>
      <c r="W42" s="365"/>
      <c r="X42" s="365"/>
      <c r="Y42" s="365"/>
      <c r="Z42" s="365"/>
      <c r="AA42" s="365"/>
      <c r="AB42" s="365"/>
      <c r="AC42" s="365"/>
      <c r="AD42" s="365"/>
      <c r="AE42" s="365"/>
      <c r="AF42" s="365"/>
      <c r="AG42" s="365"/>
      <c r="AH42" s="365">
        <v>20</v>
      </c>
      <c r="AI42" s="365"/>
      <c r="AJ42" s="365"/>
      <c r="AK42" s="365"/>
      <c r="AL42" s="365"/>
      <c r="AM42" s="365"/>
      <c r="AN42" s="365"/>
      <c r="AO42" s="365"/>
      <c r="AP42" s="365"/>
      <c r="AQ42" s="365"/>
      <c r="AR42" s="365"/>
      <c r="AS42" s="365"/>
      <c r="AT42" s="365"/>
      <c r="AU42" s="365"/>
      <c r="AV42" s="365"/>
      <c r="AW42" s="362"/>
      <c r="AX42" s="366"/>
      <c r="AY42" s="366"/>
      <c r="AZ42" s="289"/>
      <c r="BA42" s="367"/>
      <c r="BB42" s="290">
        <f t="shared" ref="BB42" si="28">SUM(O42:BA42)</f>
        <v>20</v>
      </c>
      <c r="BC42" s="290">
        <f t="shared" ref="BC42" si="29">BB42/60</f>
        <v>0.33333333333333331</v>
      </c>
    </row>
    <row r="43" spans="1:55">
      <c r="A43" s="362" t="s">
        <v>8</v>
      </c>
      <c r="B43" s="363" t="s">
        <v>294</v>
      </c>
      <c r="C43" s="362" t="s">
        <v>323</v>
      </c>
      <c r="D43" s="364" t="s">
        <v>292</v>
      </c>
      <c r="E43" s="365"/>
      <c r="F43" s="365"/>
      <c r="G43" s="365">
        <v>1</v>
      </c>
      <c r="H43" s="365"/>
      <c r="I43" s="365"/>
      <c r="J43" s="365"/>
      <c r="K43" s="373">
        <v>0.6875</v>
      </c>
      <c r="L43" s="375">
        <f t="shared" si="10"/>
        <v>30.000000000000053</v>
      </c>
      <c r="M43" s="368">
        <f t="shared" si="25"/>
        <v>20</v>
      </c>
      <c r="N43" s="369">
        <v>0.70138888888888884</v>
      </c>
      <c r="O43" s="365"/>
      <c r="P43" s="365"/>
      <c r="Q43" s="365"/>
      <c r="R43" s="365"/>
      <c r="S43" s="365"/>
      <c r="T43" s="365"/>
      <c r="U43" s="365"/>
      <c r="V43" s="365"/>
      <c r="W43" s="365"/>
      <c r="X43" s="365"/>
      <c r="Y43" s="365"/>
      <c r="Z43" s="365"/>
      <c r="AA43" s="365"/>
      <c r="AB43" s="365"/>
      <c r="AC43" s="365"/>
      <c r="AD43" s="365"/>
      <c r="AE43" s="372"/>
      <c r="AF43" s="365"/>
      <c r="AG43" s="365"/>
      <c r="AH43" s="365"/>
      <c r="AI43" s="365"/>
      <c r="AJ43" s="365">
        <v>20</v>
      </c>
      <c r="AK43" s="365"/>
      <c r="AL43" s="365"/>
      <c r="AM43" s="365"/>
      <c r="AN43" s="365"/>
      <c r="AO43" s="365"/>
      <c r="AP43" s="365"/>
      <c r="AQ43" s="365"/>
      <c r="AR43" s="365"/>
      <c r="AS43" s="365"/>
      <c r="AT43" s="365"/>
      <c r="AU43" s="365"/>
      <c r="AV43" s="365"/>
      <c r="AW43" s="362"/>
      <c r="AX43" s="366"/>
      <c r="AY43" s="366"/>
      <c r="AZ43" s="289"/>
      <c r="BA43" s="367"/>
      <c r="BB43" s="290">
        <f t="shared" si="2"/>
        <v>20</v>
      </c>
      <c r="BC43" s="290">
        <f t="shared" si="3"/>
        <v>0.33333333333333331</v>
      </c>
    </row>
    <row r="44" spans="1:55">
      <c r="A44" s="362" t="s">
        <v>8</v>
      </c>
      <c r="B44" s="363" t="s">
        <v>465</v>
      </c>
      <c r="C44" s="362"/>
      <c r="D44" s="364" t="s">
        <v>129</v>
      </c>
      <c r="E44" s="365"/>
      <c r="F44" s="365">
        <v>1</v>
      </c>
      <c r="G44" s="365">
        <v>1</v>
      </c>
      <c r="H44" s="365"/>
      <c r="I44" s="365"/>
      <c r="J44" s="365"/>
      <c r="K44" s="373">
        <v>0.70833333333333337</v>
      </c>
      <c r="L44" s="375">
        <f t="shared" si="10"/>
        <v>30.000000000000053</v>
      </c>
      <c r="M44" s="368">
        <f t="shared" si="25"/>
        <v>35</v>
      </c>
      <c r="N44" s="369">
        <v>0.73263888888888884</v>
      </c>
      <c r="O44" s="365"/>
      <c r="P44" s="365"/>
      <c r="Q44" s="365"/>
      <c r="R44" s="365"/>
      <c r="S44" s="365"/>
      <c r="T44" s="365"/>
      <c r="U44" s="365"/>
      <c r="V44" s="365"/>
      <c r="W44" s="365"/>
      <c r="X44" s="365"/>
      <c r="Y44" s="365"/>
      <c r="Z44" s="365"/>
      <c r="AA44" s="365"/>
      <c r="AB44" s="365"/>
      <c r="AC44" s="365"/>
      <c r="AD44" s="365"/>
      <c r="AE44" s="365"/>
      <c r="AF44" s="365"/>
      <c r="AG44" s="365"/>
      <c r="AH44" s="365"/>
      <c r="AI44" s="365"/>
      <c r="AJ44" s="365"/>
      <c r="AK44" s="365">
        <v>20</v>
      </c>
      <c r="AL44" s="365">
        <v>15</v>
      </c>
      <c r="AM44" s="365"/>
      <c r="AN44" s="365"/>
      <c r="AO44" s="365"/>
      <c r="AP44" s="365"/>
      <c r="AQ44" s="365"/>
      <c r="AR44" s="365"/>
      <c r="AS44" s="365"/>
      <c r="AT44" s="365"/>
      <c r="AU44" s="365"/>
      <c r="AV44" s="365"/>
      <c r="AW44" s="362"/>
      <c r="AX44" s="366"/>
      <c r="AY44" s="366"/>
      <c r="AZ44" s="289"/>
      <c r="BA44" s="367"/>
      <c r="BB44" s="290">
        <f t="shared" si="2"/>
        <v>35</v>
      </c>
      <c r="BC44" s="290">
        <f t="shared" si="3"/>
        <v>0.58333333333333337</v>
      </c>
    </row>
    <row r="45" spans="1:55">
      <c r="A45" s="362" t="s">
        <v>8</v>
      </c>
      <c r="B45" s="363" t="s">
        <v>464</v>
      </c>
      <c r="C45" s="362"/>
      <c r="D45" s="364" t="s">
        <v>129</v>
      </c>
      <c r="E45" s="365"/>
      <c r="F45" s="365">
        <v>1</v>
      </c>
      <c r="G45" s="365"/>
      <c r="H45" s="365"/>
      <c r="I45" s="365"/>
      <c r="J45" s="365">
        <v>1</v>
      </c>
      <c r="K45" s="373">
        <v>0.70833333333333337</v>
      </c>
      <c r="L45" s="375">
        <f t="shared" si="10"/>
        <v>0</v>
      </c>
      <c r="M45" s="368">
        <f t="shared" si="25"/>
        <v>35</v>
      </c>
      <c r="N45" s="369">
        <v>0.73263888888888884</v>
      </c>
      <c r="O45" s="365"/>
      <c r="P45" s="365"/>
      <c r="Q45" s="365"/>
      <c r="R45" s="365"/>
      <c r="S45" s="365"/>
      <c r="T45" s="365"/>
      <c r="U45" s="365"/>
      <c r="V45" s="365"/>
      <c r="W45" s="365"/>
      <c r="X45" s="365"/>
      <c r="Y45" s="365"/>
      <c r="Z45" s="365"/>
      <c r="AA45" s="365"/>
      <c r="AB45" s="365"/>
      <c r="AC45" s="365"/>
      <c r="AD45" s="365"/>
      <c r="AE45" s="365"/>
      <c r="AF45" s="365"/>
      <c r="AG45" s="365"/>
      <c r="AH45" s="365"/>
      <c r="AI45" s="365"/>
      <c r="AJ45" s="365"/>
      <c r="AK45" s="365">
        <v>20</v>
      </c>
      <c r="AL45" s="365">
        <v>15</v>
      </c>
      <c r="AM45" s="365"/>
      <c r="AN45" s="365"/>
      <c r="AO45" s="365"/>
      <c r="AP45" s="365"/>
      <c r="AQ45" s="365"/>
      <c r="AR45" s="365"/>
      <c r="AS45" s="365"/>
      <c r="AT45" s="365"/>
      <c r="AU45" s="365"/>
      <c r="AV45" s="365"/>
      <c r="AW45" s="362"/>
      <c r="AX45" s="366"/>
      <c r="AY45" s="366"/>
      <c r="AZ45" s="289"/>
      <c r="BA45" s="367"/>
      <c r="BB45" s="290">
        <f t="shared" ref="BB45" si="30">SUM(O45:BA45)</f>
        <v>35</v>
      </c>
      <c r="BC45" s="290">
        <f t="shared" ref="BC45" si="31">BB45/60</f>
        <v>0.58333333333333337</v>
      </c>
    </row>
    <row r="46" spans="1:55">
      <c r="A46" s="362" t="s">
        <v>8</v>
      </c>
      <c r="B46" s="363" t="s">
        <v>468</v>
      </c>
      <c r="C46" s="362" t="s">
        <v>122</v>
      </c>
      <c r="D46" s="364" t="s">
        <v>292</v>
      </c>
      <c r="E46" s="365"/>
      <c r="F46" s="365"/>
      <c r="G46" s="365">
        <v>1</v>
      </c>
      <c r="H46" s="365"/>
      <c r="I46" s="365"/>
      <c r="J46" s="365"/>
      <c r="K46" s="373">
        <v>0.70833333333333337</v>
      </c>
      <c r="L46" s="375">
        <f t="shared" si="10"/>
        <v>0</v>
      </c>
      <c r="M46" s="368">
        <f t="shared" si="25"/>
        <v>30</v>
      </c>
      <c r="N46" s="369">
        <v>0.72916666666666663</v>
      </c>
      <c r="O46" s="365"/>
      <c r="P46" s="365"/>
      <c r="Q46" s="365"/>
      <c r="R46" s="365"/>
      <c r="S46" s="365"/>
      <c r="T46" s="365"/>
      <c r="U46" s="365"/>
      <c r="V46" s="365"/>
      <c r="W46" s="365"/>
      <c r="X46" s="365"/>
      <c r="Y46" s="365"/>
      <c r="Z46" s="365"/>
      <c r="AA46" s="365"/>
      <c r="AB46" s="365"/>
      <c r="AC46" s="365"/>
      <c r="AD46" s="365"/>
      <c r="AE46" s="365"/>
      <c r="AF46" s="365"/>
      <c r="AG46" s="365"/>
      <c r="AH46" s="365"/>
      <c r="AI46" s="365"/>
      <c r="AJ46" s="365"/>
      <c r="AK46" s="365">
        <v>15</v>
      </c>
      <c r="AL46" s="365">
        <v>15</v>
      </c>
      <c r="AM46" s="365"/>
      <c r="AN46" s="365"/>
      <c r="AO46" s="365"/>
      <c r="AP46" s="365"/>
      <c r="AQ46" s="365"/>
      <c r="AR46" s="365"/>
      <c r="AS46" s="365"/>
      <c r="AT46" s="365"/>
      <c r="AU46" s="365"/>
      <c r="AV46" s="365"/>
      <c r="AW46" s="362"/>
      <c r="AX46" s="366"/>
      <c r="AY46" s="366"/>
      <c r="AZ46" s="289"/>
      <c r="BA46" s="367"/>
      <c r="BB46" s="290">
        <f t="shared" si="2"/>
        <v>30</v>
      </c>
      <c r="BC46" s="290">
        <f t="shared" si="3"/>
        <v>0.5</v>
      </c>
    </row>
    <row r="47" spans="1:55">
      <c r="A47" s="362" t="s">
        <v>44</v>
      </c>
      <c r="B47" s="363" t="s">
        <v>485</v>
      </c>
      <c r="C47" s="362" t="s">
        <v>122</v>
      </c>
      <c r="D47" s="364" t="s">
        <v>292</v>
      </c>
      <c r="E47" s="365">
        <v>1</v>
      </c>
      <c r="F47" s="365">
        <v>1</v>
      </c>
      <c r="G47" s="365">
        <v>1</v>
      </c>
      <c r="H47" s="365">
        <v>1</v>
      </c>
      <c r="I47" s="365">
        <v>1</v>
      </c>
      <c r="J47" s="365">
        <v>1</v>
      </c>
      <c r="K47" s="373">
        <v>0.70833333333333337</v>
      </c>
      <c r="L47" s="375">
        <f t="shared" si="10"/>
        <v>0</v>
      </c>
      <c r="M47" s="368">
        <f t="shared" si="25"/>
        <v>20</v>
      </c>
      <c r="N47" s="369">
        <v>0.72222222222222221</v>
      </c>
      <c r="O47" s="365"/>
      <c r="P47" s="365"/>
      <c r="Q47" s="365"/>
      <c r="R47" s="365"/>
      <c r="S47" s="365"/>
      <c r="T47" s="365"/>
      <c r="U47" s="365"/>
      <c r="V47" s="365"/>
      <c r="W47" s="365"/>
      <c r="X47" s="365"/>
      <c r="Y47" s="365"/>
      <c r="Z47" s="365"/>
      <c r="AA47" s="365"/>
      <c r="AB47" s="365"/>
      <c r="AC47" s="365"/>
      <c r="AD47" s="365"/>
      <c r="AE47" s="365"/>
      <c r="AF47" s="365"/>
      <c r="AG47" s="365"/>
      <c r="AH47" s="365"/>
      <c r="AI47" s="365"/>
      <c r="AJ47" s="365"/>
      <c r="AK47" s="365">
        <v>20</v>
      </c>
      <c r="AL47" s="365"/>
      <c r="AM47" s="365"/>
      <c r="AN47" s="365"/>
      <c r="AO47" s="365"/>
      <c r="AP47" s="365"/>
      <c r="AQ47" s="365"/>
      <c r="AR47" s="365"/>
      <c r="AS47" s="365"/>
      <c r="AT47" s="365"/>
      <c r="AU47" s="365"/>
      <c r="AV47" s="365"/>
      <c r="AW47" s="362"/>
      <c r="AX47" s="366"/>
      <c r="AY47" s="366"/>
      <c r="AZ47" s="289"/>
      <c r="BA47" s="367"/>
      <c r="BB47" s="290">
        <f t="shared" si="2"/>
        <v>20</v>
      </c>
      <c r="BC47" s="290">
        <f t="shared" si="3"/>
        <v>0.33333333333333331</v>
      </c>
    </row>
    <row r="48" spans="1:55">
      <c r="A48" s="362" t="s">
        <v>347</v>
      </c>
      <c r="B48" s="363" t="s">
        <v>478</v>
      </c>
      <c r="C48" s="362" t="s">
        <v>122</v>
      </c>
      <c r="D48" s="364" t="s">
        <v>292</v>
      </c>
      <c r="E48" s="365"/>
      <c r="F48" s="365"/>
      <c r="G48" s="365"/>
      <c r="H48" s="365"/>
      <c r="I48" s="365"/>
      <c r="J48" s="365"/>
      <c r="K48" s="373">
        <v>0.72916666666666663</v>
      </c>
      <c r="L48" s="375">
        <f t="shared" si="10"/>
        <v>29.999999999999893</v>
      </c>
      <c r="M48" s="368">
        <f t="shared" si="25"/>
        <v>10</v>
      </c>
      <c r="N48" s="369">
        <v>0.73611111111111116</v>
      </c>
      <c r="O48" s="365"/>
      <c r="P48" s="365"/>
      <c r="Q48" s="365"/>
      <c r="R48" s="365"/>
      <c r="S48" s="365"/>
      <c r="T48" s="365"/>
      <c r="U48" s="365"/>
      <c r="V48" s="365"/>
      <c r="W48" s="365"/>
      <c r="X48" s="365"/>
      <c r="Y48" s="365"/>
      <c r="Z48" s="365"/>
      <c r="AA48" s="365"/>
      <c r="AB48" s="365"/>
      <c r="AC48" s="365"/>
      <c r="AD48" s="365"/>
      <c r="AE48" s="365"/>
      <c r="AF48" s="365"/>
      <c r="AG48" s="365"/>
      <c r="AH48" s="365"/>
      <c r="AI48" s="365"/>
      <c r="AJ48" s="365"/>
      <c r="AK48" s="365"/>
      <c r="AL48" s="365">
        <v>10</v>
      </c>
      <c r="AM48" s="365"/>
      <c r="AN48" s="365"/>
      <c r="AO48" s="365"/>
      <c r="AP48" s="365"/>
      <c r="AQ48" s="365"/>
      <c r="AR48" s="365"/>
      <c r="AS48" s="365"/>
      <c r="AT48" s="365"/>
      <c r="AU48" s="365"/>
      <c r="AV48" s="365"/>
      <c r="AW48" s="362"/>
      <c r="AX48" s="366"/>
      <c r="AY48" s="366"/>
      <c r="AZ48" s="289"/>
      <c r="BA48" s="367"/>
      <c r="BB48" s="290">
        <f t="shared" ref="BB48" si="32">SUM(O48:BA48)</f>
        <v>10</v>
      </c>
      <c r="BC48" s="290">
        <f t="shared" ref="BC48" si="33">BB48/60</f>
        <v>0.16666666666666666</v>
      </c>
    </row>
    <row r="49" spans="1:55">
      <c r="A49" s="362" t="s">
        <v>8</v>
      </c>
      <c r="B49" s="363" t="s">
        <v>475</v>
      </c>
      <c r="C49" s="362" t="s">
        <v>122</v>
      </c>
      <c r="D49" s="364" t="s">
        <v>309</v>
      </c>
      <c r="E49" s="365"/>
      <c r="F49" s="365">
        <v>1</v>
      </c>
      <c r="G49" s="365">
        <v>1</v>
      </c>
      <c r="H49" s="365">
        <v>1</v>
      </c>
      <c r="I49" s="365">
        <v>1</v>
      </c>
      <c r="J49" s="365">
        <v>1</v>
      </c>
      <c r="K49" s="373">
        <v>0.84027777777777779</v>
      </c>
      <c r="L49" s="375">
        <f t="shared" si="10"/>
        <v>160.00000000000006</v>
      </c>
      <c r="M49" s="368">
        <f t="shared" si="25"/>
        <v>70</v>
      </c>
      <c r="N49" s="369">
        <v>0.88888888888888884</v>
      </c>
      <c r="O49" s="365"/>
      <c r="P49" s="365"/>
      <c r="Q49" s="365"/>
      <c r="R49" s="365"/>
      <c r="S49" s="365"/>
      <c r="T49" s="365"/>
      <c r="U49" s="365"/>
      <c r="V49" s="365"/>
      <c r="W49" s="365"/>
      <c r="X49" s="365"/>
      <c r="Y49" s="365"/>
      <c r="Z49" s="365"/>
      <c r="AA49" s="365"/>
      <c r="AB49" s="365"/>
      <c r="AC49" s="365"/>
      <c r="AD49" s="365"/>
      <c r="AE49" s="365"/>
      <c r="AF49" s="365"/>
      <c r="AG49" s="365"/>
      <c r="AH49" s="365"/>
      <c r="AI49" s="365"/>
      <c r="AJ49" s="365"/>
      <c r="AK49" s="365"/>
      <c r="AL49" s="365"/>
      <c r="AM49" s="365"/>
      <c r="AN49" s="365"/>
      <c r="AO49" s="365"/>
      <c r="AP49" s="365"/>
      <c r="AQ49" s="365">
        <v>20</v>
      </c>
      <c r="AR49" s="365">
        <v>30</v>
      </c>
      <c r="AS49" s="365">
        <v>20</v>
      </c>
      <c r="AT49" s="365"/>
      <c r="AU49" s="365"/>
      <c r="AV49" s="365"/>
      <c r="AW49" s="362"/>
      <c r="AX49" s="366"/>
      <c r="AY49" s="366"/>
      <c r="AZ49" s="289"/>
      <c r="BA49" s="367"/>
      <c r="BB49" s="290">
        <f t="shared" si="2"/>
        <v>70</v>
      </c>
      <c r="BC49" s="290">
        <f t="shared" si="3"/>
        <v>1.1666666666666667</v>
      </c>
    </row>
    <row r="50" spans="1:55">
      <c r="A50" s="362" t="s">
        <v>11</v>
      </c>
      <c r="B50" s="363" t="s">
        <v>488</v>
      </c>
      <c r="C50" s="362" t="s">
        <v>122</v>
      </c>
      <c r="D50" s="364" t="s">
        <v>292</v>
      </c>
      <c r="E50" s="365"/>
      <c r="F50" s="365"/>
      <c r="G50" s="365">
        <v>1</v>
      </c>
      <c r="H50" s="365">
        <v>1</v>
      </c>
      <c r="I50" s="365">
        <v>1</v>
      </c>
      <c r="J50" s="365">
        <v>1</v>
      </c>
      <c r="K50" s="373">
        <v>0.84375</v>
      </c>
      <c r="L50" s="375">
        <f t="shared" si="10"/>
        <v>4.9999999999999822</v>
      </c>
      <c r="M50" s="368">
        <f t="shared" si="25"/>
        <v>25</v>
      </c>
      <c r="N50" s="369">
        <v>0.86111111111111116</v>
      </c>
      <c r="O50" s="365"/>
      <c r="P50" s="365"/>
      <c r="Q50" s="365"/>
      <c r="R50" s="365"/>
      <c r="S50" s="365"/>
      <c r="T50" s="365"/>
      <c r="U50" s="365"/>
      <c r="V50" s="365"/>
      <c r="W50" s="365"/>
      <c r="X50" s="365"/>
      <c r="Y50" s="365"/>
      <c r="Z50" s="365"/>
      <c r="AA50" s="365"/>
      <c r="AB50" s="365"/>
      <c r="AC50" s="365"/>
      <c r="AD50" s="365"/>
      <c r="AE50" s="365"/>
      <c r="AF50" s="365"/>
      <c r="AG50" s="365"/>
      <c r="AH50" s="365"/>
      <c r="AI50" s="365"/>
      <c r="AJ50" s="365"/>
      <c r="AK50" s="365"/>
      <c r="AL50" s="365"/>
      <c r="AM50" s="365"/>
      <c r="AN50" s="365"/>
      <c r="AO50" s="365"/>
      <c r="AP50" s="365"/>
      <c r="AQ50" s="365"/>
      <c r="AR50" s="365">
        <v>15</v>
      </c>
      <c r="AS50" s="365">
        <v>10</v>
      </c>
      <c r="AT50" s="365"/>
      <c r="AU50" s="365"/>
      <c r="AV50" s="365"/>
      <c r="AW50" s="362"/>
      <c r="AX50" s="366"/>
      <c r="AY50" s="366"/>
      <c r="AZ50" s="289"/>
      <c r="BA50" s="367"/>
      <c r="BB50" s="290">
        <f t="shared" si="2"/>
        <v>25</v>
      </c>
      <c r="BC50" s="290">
        <f t="shared" si="3"/>
        <v>0.41666666666666669</v>
      </c>
    </row>
    <row r="51" spans="1:55">
      <c r="A51" s="362" t="s">
        <v>11</v>
      </c>
      <c r="B51" s="363" t="s">
        <v>487</v>
      </c>
      <c r="C51" s="362" t="s">
        <v>122</v>
      </c>
      <c r="D51" s="364" t="s">
        <v>292</v>
      </c>
      <c r="E51" s="365"/>
      <c r="F51" s="365"/>
      <c r="G51" s="365">
        <v>1</v>
      </c>
      <c r="H51" s="365">
        <v>1</v>
      </c>
      <c r="I51" s="365">
        <v>1</v>
      </c>
      <c r="J51" s="365">
        <v>1</v>
      </c>
      <c r="K51" s="373">
        <v>0.86111111111111116</v>
      </c>
      <c r="L51" s="375">
        <f t="shared" si="10"/>
        <v>25.000000000000071</v>
      </c>
      <c r="M51" s="368">
        <f t="shared" si="25"/>
        <v>10</v>
      </c>
      <c r="N51" s="369">
        <v>0.86805555555555547</v>
      </c>
      <c r="O51" s="365"/>
      <c r="P51" s="365"/>
      <c r="Q51" s="365"/>
      <c r="R51" s="365"/>
      <c r="S51" s="365"/>
      <c r="T51" s="365"/>
      <c r="U51" s="365"/>
      <c r="V51" s="365"/>
      <c r="W51" s="365"/>
      <c r="X51" s="365"/>
      <c r="Y51" s="365"/>
      <c r="Z51" s="365"/>
      <c r="AA51" s="365"/>
      <c r="AB51" s="365"/>
      <c r="AC51" s="365"/>
      <c r="AD51" s="365"/>
      <c r="AE51" s="365"/>
      <c r="AF51" s="365"/>
      <c r="AG51" s="365"/>
      <c r="AH51" s="365"/>
      <c r="AI51" s="365"/>
      <c r="AJ51" s="365"/>
      <c r="AK51" s="365"/>
      <c r="AL51" s="365"/>
      <c r="AM51" s="365"/>
      <c r="AN51" s="365"/>
      <c r="AO51" s="365"/>
      <c r="AP51" s="365"/>
      <c r="AQ51" s="365"/>
      <c r="AR51" s="365"/>
      <c r="AS51" s="365">
        <v>10</v>
      </c>
      <c r="AT51" s="365"/>
      <c r="AU51" s="365"/>
      <c r="AV51" s="365"/>
      <c r="AW51" s="362"/>
      <c r="AX51" s="366"/>
      <c r="AY51" s="366"/>
      <c r="AZ51" s="289"/>
      <c r="BA51" s="367"/>
      <c r="BB51" s="290">
        <f t="shared" si="2"/>
        <v>10</v>
      </c>
      <c r="BC51" s="290">
        <f t="shared" si="3"/>
        <v>0.16666666666666666</v>
      </c>
    </row>
    <row r="52" spans="1:55">
      <c r="A52" s="362" t="s">
        <v>347</v>
      </c>
      <c r="B52" s="363" t="s">
        <v>479</v>
      </c>
      <c r="C52" s="362" t="s">
        <v>122</v>
      </c>
      <c r="D52" s="364" t="s">
        <v>292</v>
      </c>
      <c r="E52" s="365"/>
      <c r="F52" s="365"/>
      <c r="G52" s="365"/>
      <c r="H52" s="365"/>
      <c r="I52" s="365"/>
      <c r="J52" s="365"/>
      <c r="K52" s="373">
        <v>0.89583333333333337</v>
      </c>
      <c r="L52" s="375">
        <f t="shared" si="10"/>
        <v>49.999999999999986</v>
      </c>
      <c r="M52" s="368">
        <f t="shared" si="25"/>
        <v>10</v>
      </c>
      <c r="N52" s="369">
        <v>0.90277777777777779</v>
      </c>
      <c r="O52" s="365"/>
      <c r="P52" s="365"/>
      <c r="Q52" s="365"/>
      <c r="R52" s="365"/>
      <c r="S52" s="365"/>
      <c r="T52" s="365"/>
      <c r="U52" s="365"/>
      <c r="V52" s="365"/>
      <c r="W52" s="365"/>
      <c r="X52" s="365"/>
      <c r="Y52" s="365"/>
      <c r="Z52" s="365"/>
      <c r="AA52" s="365"/>
      <c r="AB52" s="365"/>
      <c r="AC52" s="365"/>
      <c r="AD52" s="365"/>
      <c r="AE52" s="365"/>
      <c r="AF52" s="365"/>
      <c r="AG52" s="365"/>
      <c r="AH52" s="365"/>
      <c r="AI52" s="365"/>
      <c r="AJ52" s="365"/>
      <c r="AK52" s="365"/>
      <c r="AL52" s="365"/>
      <c r="AM52" s="365"/>
      <c r="AN52" s="365"/>
      <c r="AO52" s="365"/>
      <c r="AP52" s="365"/>
      <c r="AQ52" s="365"/>
      <c r="AR52" s="365"/>
      <c r="AS52" s="365"/>
      <c r="AT52" s="365">
        <v>10</v>
      </c>
      <c r="AU52" s="365"/>
      <c r="AV52" s="365"/>
      <c r="AW52" s="362"/>
      <c r="AX52" s="366"/>
      <c r="AY52" s="366"/>
      <c r="AZ52" s="289"/>
      <c r="BA52" s="367"/>
      <c r="BB52" s="290">
        <f t="shared" si="2"/>
        <v>10</v>
      </c>
      <c r="BC52" s="290">
        <f t="shared" si="3"/>
        <v>0.16666666666666666</v>
      </c>
    </row>
    <row r="53" spans="1:55">
      <c r="A53" s="362" t="s">
        <v>11</v>
      </c>
      <c r="B53" s="363" t="s">
        <v>483</v>
      </c>
      <c r="C53" s="362" t="s">
        <v>122</v>
      </c>
      <c r="D53" s="364" t="s">
        <v>309</v>
      </c>
      <c r="E53" s="365"/>
      <c r="F53" s="365"/>
      <c r="G53" s="365">
        <v>1</v>
      </c>
      <c r="H53" s="365">
        <v>1</v>
      </c>
      <c r="I53" s="365"/>
      <c r="J53" s="365"/>
      <c r="K53" s="373">
        <v>0.89583333333333337</v>
      </c>
      <c r="L53" s="375">
        <f t="shared" si="10"/>
        <v>0</v>
      </c>
      <c r="M53" s="368">
        <f t="shared" si="25"/>
        <v>15</v>
      </c>
      <c r="N53" s="369">
        <v>0.90625</v>
      </c>
      <c r="O53" s="365"/>
      <c r="P53" s="365"/>
      <c r="Q53" s="365"/>
      <c r="R53" s="365"/>
      <c r="S53" s="365"/>
      <c r="T53" s="365"/>
      <c r="U53" s="365"/>
      <c r="V53" s="365"/>
      <c r="W53" s="365"/>
      <c r="X53" s="365"/>
      <c r="Y53" s="365"/>
      <c r="Z53" s="365"/>
      <c r="AA53" s="365"/>
      <c r="AB53" s="365"/>
      <c r="AC53" s="365"/>
      <c r="AD53" s="365"/>
      <c r="AE53" s="365"/>
      <c r="AF53" s="365"/>
      <c r="AG53" s="365"/>
      <c r="AH53" s="365"/>
      <c r="AI53" s="365"/>
      <c r="AJ53" s="365"/>
      <c r="AK53" s="365"/>
      <c r="AL53" s="365"/>
      <c r="AM53" s="365"/>
      <c r="AN53" s="365"/>
      <c r="AO53" s="365"/>
      <c r="AP53" s="365"/>
      <c r="AQ53" s="365"/>
      <c r="AR53" s="365"/>
      <c r="AS53" s="365"/>
      <c r="AT53" s="365">
        <v>15</v>
      </c>
      <c r="AU53" s="365"/>
      <c r="AV53" s="365"/>
      <c r="AW53" s="362"/>
      <c r="AX53" s="366"/>
      <c r="AY53" s="366"/>
      <c r="AZ53" s="289"/>
      <c r="BA53" s="367"/>
      <c r="BB53" s="290">
        <f t="shared" si="2"/>
        <v>15</v>
      </c>
      <c r="BC53" s="290">
        <f t="shared" si="3"/>
        <v>0.25</v>
      </c>
    </row>
    <row r="54" spans="1:55">
      <c r="A54" s="362" t="s">
        <v>8</v>
      </c>
      <c r="B54" s="363" t="s">
        <v>321</v>
      </c>
      <c r="C54" s="362" t="s">
        <v>122</v>
      </c>
      <c r="D54" s="364" t="s">
        <v>292</v>
      </c>
      <c r="E54" s="365"/>
      <c r="F54" s="365">
        <v>1</v>
      </c>
      <c r="G54" s="365">
        <v>1</v>
      </c>
      <c r="H54" s="365"/>
      <c r="I54" s="365"/>
      <c r="J54" s="365">
        <v>1</v>
      </c>
      <c r="K54" s="373">
        <v>0.89583333333333337</v>
      </c>
      <c r="L54" s="375">
        <f t="shared" si="10"/>
        <v>0</v>
      </c>
      <c r="M54" s="368">
        <f t="shared" si="25"/>
        <v>30</v>
      </c>
      <c r="N54" s="369">
        <v>0.91666666666666663</v>
      </c>
      <c r="O54" s="365"/>
      <c r="P54" s="365"/>
      <c r="Q54" s="365"/>
      <c r="R54" s="365"/>
      <c r="S54" s="365"/>
      <c r="T54" s="365"/>
      <c r="U54" s="365"/>
      <c r="V54" s="365"/>
      <c r="W54" s="365"/>
      <c r="X54" s="365"/>
      <c r="Y54" s="365"/>
      <c r="Z54" s="365"/>
      <c r="AA54" s="365"/>
      <c r="AB54" s="365"/>
      <c r="AC54" s="365"/>
      <c r="AD54" s="365"/>
      <c r="AE54" s="365"/>
      <c r="AF54" s="365"/>
      <c r="AG54" s="365"/>
      <c r="AH54" s="365"/>
      <c r="AI54" s="365"/>
      <c r="AJ54" s="365"/>
      <c r="AK54" s="365"/>
      <c r="AL54" s="365"/>
      <c r="AM54" s="365"/>
      <c r="AN54" s="365"/>
      <c r="AO54" s="365"/>
      <c r="AP54" s="365"/>
      <c r="AQ54" s="365"/>
      <c r="AR54" s="365"/>
      <c r="AS54" s="365"/>
      <c r="AT54" s="365">
        <v>30</v>
      </c>
      <c r="AU54" s="365"/>
      <c r="AV54" s="365"/>
      <c r="AW54" s="362"/>
      <c r="AX54" s="366"/>
      <c r="AY54" s="366"/>
      <c r="AZ54" s="289"/>
      <c r="BA54" s="367"/>
      <c r="BB54" s="290">
        <f t="shared" ref="BB54" si="34">SUM(O54:BA54)</f>
        <v>30</v>
      </c>
      <c r="BC54" s="290">
        <f t="shared" ref="BC54" si="35">BB54/60</f>
        <v>0.5</v>
      </c>
    </row>
    <row r="55" spans="1:55" ht="25.5">
      <c r="A55" s="362" t="s">
        <v>11</v>
      </c>
      <c r="B55" s="363" t="s">
        <v>337</v>
      </c>
      <c r="C55" s="362" t="s">
        <v>122</v>
      </c>
      <c r="D55" s="364" t="s">
        <v>292</v>
      </c>
      <c r="E55" s="365"/>
      <c r="F55" s="365">
        <v>1</v>
      </c>
      <c r="G55" s="365"/>
      <c r="H55" s="365">
        <v>1</v>
      </c>
      <c r="I55" s="365">
        <v>1</v>
      </c>
      <c r="J55" s="365"/>
      <c r="K55" s="373">
        <v>0.89583333333333337</v>
      </c>
      <c r="L55" s="375">
        <f t="shared" si="10"/>
        <v>0</v>
      </c>
      <c r="M55" s="368">
        <f t="shared" si="25"/>
        <v>15</v>
      </c>
      <c r="N55" s="369">
        <v>0.90625</v>
      </c>
      <c r="O55" s="365"/>
      <c r="P55" s="365"/>
      <c r="Q55" s="365"/>
      <c r="R55" s="365"/>
      <c r="S55" s="365"/>
      <c r="T55" s="365"/>
      <c r="U55" s="365"/>
      <c r="V55" s="365"/>
      <c r="W55" s="365"/>
      <c r="X55" s="365"/>
      <c r="Y55" s="365"/>
      <c r="Z55" s="365"/>
      <c r="AA55" s="365"/>
      <c r="AB55" s="365"/>
      <c r="AC55" s="365"/>
      <c r="AD55" s="365"/>
      <c r="AE55" s="365"/>
      <c r="AF55" s="365"/>
      <c r="AG55" s="365"/>
      <c r="AH55" s="365"/>
      <c r="AI55" s="365"/>
      <c r="AJ55" s="365"/>
      <c r="AK55" s="365"/>
      <c r="AL55" s="365"/>
      <c r="AM55" s="365"/>
      <c r="AN55" s="365"/>
      <c r="AO55" s="365"/>
      <c r="AP55" s="365"/>
      <c r="AQ55" s="365"/>
      <c r="AR55" s="365"/>
      <c r="AS55" s="365"/>
      <c r="AT55" s="365">
        <v>15</v>
      </c>
      <c r="AU55" s="365"/>
      <c r="AV55" s="365"/>
      <c r="AW55" s="362"/>
      <c r="AX55" s="366"/>
      <c r="AY55" s="366"/>
      <c r="AZ55" s="289"/>
      <c r="BA55" s="367"/>
      <c r="BB55" s="290">
        <f t="shared" si="2"/>
        <v>15</v>
      </c>
      <c r="BC55" s="290">
        <f t="shared" si="3"/>
        <v>0.25</v>
      </c>
    </row>
    <row r="56" spans="1:55" ht="25.5">
      <c r="A56" s="362" t="s">
        <v>44</v>
      </c>
      <c r="B56" s="363" t="s">
        <v>146</v>
      </c>
      <c r="C56" s="362" t="s">
        <v>122</v>
      </c>
      <c r="D56" s="364" t="s">
        <v>292</v>
      </c>
      <c r="E56" s="365">
        <v>1</v>
      </c>
      <c r="F56" s="365">
        <v>1</v>
      </c>
      <c r="G56" s="365"/>
      <c r="H56" s="365">
        <v>1</v>
      </c>
      <c r="I56" s="365"/>
      <c r="J56" s="365"/>
      <c r="K56" s="373">
        <v>0.89583333333333337</v>
      </c>
      <c r="L56" s="375">
        <f t="shared" si="10"/>
        <v>0</v>
      </c>
      <c r="M56" s="368">
        <f t="shared" si="25"/>
        <v>15</v>
      </c>
      <c r="N56" s="369">
        <v>0.90625</v>
      </c>
      <c r="O56" s="365"/>
      <c r="P56" s="365"/>
      <c r="Q56" s="365"/>
      <c r="R56" s="365"/>
      <c r="S56" s="365"/>
      <c r="T56" s="365"/>
      <c r="U56" s="365"/>
      <c r="V56" s="365"/>
      <c r="W56" s="365"/>
      <c r="X56" s="365"/>
      <c r="Y56" s="365"/>
      <c r="Z56" s="365"/>
      <c r="AA56" s="365"/>
      <c r="AB56" s="365"/>
      <c r="AC56" s="365"/>
      <c r="AD56" s="365"/>
      <c r="AE56" s="365"/>
      <c r="AF56" s="365"/>
      <c r="AG56" s="365"/>
      <c r="AH56" s="365"/>
      <c r="AI56" s="365"/>
      <c r="AJ56" s="365"/>
      <c r="AK56" s="365"/>
      <c r="AL56" s="365"/>
      <c r="AM56" s="365"/>
      <c r="AN56" s="365"/>
      <c r="AO56" s="365"/>
      <c r="AP56" s="365"/>
      <c r="AQ56" s="365"/>
      <c r="AR56" s="365"/>
      <c r="AS56" s="365"/>
      <c r="AT56" s="365">
        <v>15</v>
      </c>
      <c r="AU56" s="365"/>
      <c r="AV56" s="365"/>
      <c r="AW56" s="362"/>
      <c r="AX56" s="366"/>
      <c r="AY56" s="366"/>
      <c r="AZ56" s="289"/>
      <c r="BA56" s="367"/>
      <c r="BB56" s="290">
        <f t="shared" ref="BB56" si="36">SUM(O56:BA56)</f>
        <v>15</v>
      </c>
      <c r="BC56" s="290">
        <f t="shared" ref="BC56" si="37">BB56/60</f>
        <v>0.25</v>
      </c>
    </row>
    <row r="57" spans="1:55">
      <c r="A57" s="362" t="s">
        <v>11</v>
      </c>
      <c r="B57" s="363" t="s">
        <v>301</v>
      </c>
      <c r="C57" s="362"/>
      <c r="D57" s="364" t="s">
        <v>292</v>
      </c>
      <c r="E57" s="365"/>
      <c r="F57" s="365">
        <v>1</v>
      </c>
      <c r="G57" s="365">
        <v>1</v>
      </c>
      <c r="H57" s="365">
        <v>1</v>
      </c>
      <c r="I57" s="365">
        <v>1</v>
      </c>
      <c r="J57" s="365">
        <v>1</v>
      </c>
      <c r="K57" s="373">
        <v>0.90625</v>
      </c>
      <c r="L57" s="375">
        <f t="shared" si="10"/>
        <v>14.999999999999947</v>
      </c>
      <c r="M57" s="368">
        <f t="shared" si="25"/>
        <v>10</v>
      </c>
      <c r="N57" s="369">
        <v>0.91319444444444453</v>
      </c>
      <c r="O57" s="365"/>
      <c r="P57" s="365"/>
      <c r="Q57" s="365"/>
      <c r="R57" s="365"/>
      <c r="S57" s="365"/>
      <c r="T57" s="365"/>
      <c r="U57" s="365"/>
      <c r="V57" s="365"/>
      <c r="W57" s="365"/>
      <c r="X57" s="365"/>
      <c r="Y57" s="365"/>
      <c r="Z57" s="365"/>
      <c r="AA57" s="365"/>
      <c r="AB57" s="365"/>
      <c r="AC57" s="365"/>
      <c r="AD57" s="365"/>
      <c r="AE57" s="365"/>
      <c r="AF57" s="365"/>
      <c r="AG57" s="365"/>
      <c r="AH57" s="365"/>
      <c r="AI57" s="365"/>
      <c r="AJ57" s="365"/>
      <c r="AK57" s="365"/>
      <c r="AL57" s="365"/>
      <c r="AM57" s="365"/>
      <c r="AN57" s="365"/>
      <c r="AO57" s="365"/>
      <c r="AP57" s="365"/>
      <c r="AQ57" s="365"/>
      <c r="AR57" s="365"/>
      <c r="AS57" s="365"/>
      <c r="AT57" s="365">
        <v>10</v>
      </c>
      <c r="AU57" s="365"/>
      <c r="AV57" s="365"/>
      <c r="AW57" s="362"/>
      <c r="AX57" s="366"/>
      <c r="AY57" s="366"/>
      <c r="AZ57" s="289"/>
      <c r="BA57" s="367"/>
      <c r="BB57" s="290">
        <f t="shared" si="2"/>
        <v>10</v>
      </c>
      <c r="BC57" s="290">
        <f t="shared" si="3"/>
        <v>0.16666666666666666</v>
      </c>
    </row>
    <row r="58" spans="1:55">
      <c r="A58" s="362" t="s">
        <v>8</v>
      </c>
      <c r="B58" s="363" t="s">
        <v>359</v>
      </c>
      <c r="C58" s="362" t="s">
        <v>122</v>
      </c>
      <c r="D58" s="364" t="s">
        <v>292</v>
      </c>
      <c r="E58" s="365">
        <v>1</v>
      </c>
      <c r="F58" s="365">
        <v>1</v>
      </c>
      <c r="G58" s="365">
        <v>1</v>
      </c>
      <c r="H58" s="365"/>
      <c r="I58" s="365"/>
      <c r="J58" s="365">
        <v>1</v>
      </c>
      <c r="K58" s="373">
        <v>0.91666666666666663</v>
      </c>
      <c r="L58" s="375">
        <f t="shared" si="10"/>
        <v>14.999999999999947</v>
      </c>
      <c r="M58" s="368">
        <f t="shared" si="25"/>
        <v>20</v>
      </c>
      <c r="N58" s="369">
        <v>0.93055555555555547</v>
      </c>
      <c r="O58" s="365"/>
      <c r="P58" s="365"/>
      <c r="Q58" s="365"/>
      <c r="R58" s="365"/>
      <c r="S58" s="365"/>
      <c r="T58" s="365"/>
      <c r="U58" s="365"/>
      <c r="V58" s="365"/>
      <c r="W58" s="365"/>
      <c r="X58" s="365"/>
      <c r="Y58" s="365"/>
      <c r="Z58" s="365"/>
      <c r="AA58" s="365"/>
      <c r="AB58" s="365"/>
      <c r="AC58" s="365"/>
      <c r="AD58" s="365"/>
      <c r="AE58" s="365"/>
      <c r="AF58" s="365"/>
      <c r="AG58" s="365"/>
      <c r="AH58" s="365"/>
      <c r="AI58" s="365"/>
      <c r="AJ58" s="365"/>
      <c r="AK58" s="365"/>
      <c r="AL58" s="365"/>
      <c r="AM58" s="365"/>
      <c r="AN58" s="365"/>
      <c r="AO58" s="365"/>
      <c r="AP58" s="365"/>
      <c r="AQ58" s="365"/>
      <c r="AR58" s="365"/>
      <c r="AS58" s="365"/>
      <c r="AT58" s="365"/>
      <c r="AU58" s="365">
        <v>20</v>
      </c>
      <c r="AV58" s="365"/>
      <c r="AW58" s="362"/>
      <c r="AX58" s="366"/>
      <c r="AY58" s="366"/>
      <c r="AZ58" s="289"/>
      <c r="BA58" s="367"/>
      <c r="BB58" s="290">
        <f t="shared" si="2"/>
        <v>20</v>
      </c>
      <c r="BC58" s="290">
        <f t="shared" si="3"/>
        <v>0.33333333333333331</v>
      </c>
    </row>
    <row r="59" spans="1:55">
      <c r="A59" s="362" t="s">
        <v>8</v>
      </c>
      <c r="B59" s="363" t="s">
        <v>335</v>
      </c>
      <c r="C59" s="362" t="s">
        <v>122</v>
      </c>
      <c r="D59" s="364" t="s">
        <v>292</v>
      </c>
      <c r="E59" s="365"/>
      <c r="F59" s="365">
        <v>1</v>
      </c>
      <c r="G59" s="365">
        <v>1</v>
      </c>
      <c r="H59" s="365"/>
      <c r="I59" s="365"/>
      <c r="J59" s="365">
        <v>1</v>
      </c>
      <c r="K59" s="373">
        <v>0.91666666666666663</v>
      </c>
      <c r="L59" s="375">
        <f t="shared" si="10"/>
        <v>0</v>
      </c>
      <c r="M59" s="368">
        <f t="shared" si="25"/>
        <v>50</v>
      </c>
      <c r="N59" s="369">
        <v>0.95138888888888884</v>
      </c>
      <c r="O59" s="365"/>
      <c r="P59" s="365"/>
      <c r="Q59" s="365"/>
      <c r="R59" s="365"/>
      <c r="S59" s="365"/>
      <c r="T59" s="365"/>
      <c r="U59" s="365"/>
      <c r="V59" s="365"/>
      <c r="W59" s="365"/>
      <c r="X59" s="365"/>
      <c r="Y59" s="365"/>
      <c r="Z59" s="365"/>
      <c r="AA59" s="365"/>
      <c r="AB59" s="365"/>
      <c r="AC59" s="365"/>
      <c r="AD59" s="365"/>
      <c r="AE59" s="365"/>
      <c r="AF59" s="365"/>
      <c r="AG59" s="365"/>
      <c r="AH59" s="365"/>
      <c r="AI59" s="365"/>
      <c r="AJ59" s="365"/>
      <c r="AK59" s="365"/>
      <c r="AL59" s="365"/>
      <c r="AM59" s="365"/>
      <c r="AN59" s="365"/>
      <c r="AO59" s="365"/>
      <c r="AP59" s="365"/>
      <c r="AQ59" s="365"/>
      <c r="AR59" s="365"/>
      <c r="AS59" s="365"/>
      <c r="AT59" s="365"/>
      <c r="AU59" s="365">
        <v>30</v>
      </c>
      <c r="AV59" s="365">
        <v>20</v>
      </c>
      <c r="AW59" s="362"/>
      <c r="AX59" s="366"/>
      <c r="AY59" s="366"/>
      <c r="AZ59" s="289"/>
      <c r="BA59" s="367"/>
      <c r="BB59" s="290">
        <f t="shared" si="2"/>
        <v>50</v>
      </c>
      <c r="BC59" s="290">
        <f t="shared" si="3"/>
        <v>0.83333333333333337</v>
      </c>
    </row>
    <row r="60" spans="1:55">
      <c r="A60" s="362" t="s">
        <v>8</v>
      </c>
      <c r="B60" s="363" t="s">
        <v>137</v>
      </c>
      <c r="C60" s="362" t="s">
        <v>122</v>
      </c>
      <c r="D60" s="364" t="s">
        <v>292</v>
      </c>
      <c r="E60" s="365"/>
      <c r="F60" s="365">
        <v>1</v>
      </c>
      <c r="G60" s="365">
        <v>1</v>
      </c>
      <c r="H60" s="365"/>
      <c r="I60" s="365"/>
      <c r="J60" s="365">
        <v>1</v>
      </c>
      <c r="K60" s="373">
        <v>0.93055555555555547</v>
      </c>
      <c r="L60" s="375">
        <f t="shared" si="10"/>
        <v>19.999999999999929</v>
      </c>
      <c r="M60" s="368">
        <f t="shared" si="25"/>
        <v>10</v>
      </c>
      <c r="N60" s="369">
        <v>0.9375</v>
      </c>
      <c r="O60" s="365"/>
      <c r="P60" s="365"/>
      <c r="Q60" s="365"/>
      <c r="R60" s="365"/>
      <c r="S60" s="365"/>
      <c r="T60" s="365"/>
      <c r="U60" s="365"/>
      <c r="V60" s="365"/>
      <c r="W60" s="365"/>
      <c r="X60" s="365"/>
      <c r="Y60" s="365"/>
      <c r="Z60" s="365"/>
      <c r="AA60" s="365"/>
      <c r="AB60" s="365"/>
      <c r="AC60" s="365"/>
      <c r="AD60" s="365"/>
      <c r="AE60" s="365"/>
      <c r="AF60" s="365"/>
      <c r="AG60" s="365"/>
      <c r="AH60" s="365"/>
      <c r="AI60" s="365"/>
      <c r="AJ60" s="365"/>
      <c r="AK60" s="365"/>
      <c r="AL60" s="365"/>
      <c r="AM60" s="365"/>
      <c r="AN60" s="365"/>
      <c r="AO60" s="365"/>
      <c r="AP60" s="365"/>
      <c r="AQ60" s="365"/>
      <c r="AR60" s="365"/>
      <c r="AS60" s="365"/>
      <c r="AT60" s="365"/>
      <c r="AU60" s="365">
        <v>10</v>
      </c>
      <c r="AV60" s="365"/>
      <c r="AW60" s="362"/>
      <c r="AX60" s="366"/>
      <c r="AY60" s="366"/>
      <c r="AZ60" s="289"/>
      <c r="BA60" s="367"/>
      <c r="BB60" s="290">
        <f t="shared" si="2"/>
        <v>10</v>
      </c>
      <c r="BC60" s="290">
        <f t="shared" si="3"/>
        <v>0.16666666666666666</v>
      </c>
    </row>
    <row r="61" spans="1:55">
      <c r="A61" s="362" t="s">
        <v>348</v>
      </c>
      <c r="B61" s="363" t="s">
        <v>492</v>
      </c>
      <c r="C61" s="362" t="s">
        <v>122</v>
      </c>
      <c r="D61" s="364" t="s">
        <v>129</v>
      </c>
      <c r="E61" s="365"/>
      <c r="F61" s="365">
        <v>1</v>
      </c>
      <c r="G61" s="365"/>
      <c r="H61" s="365"/>
      <c r="I61" s="365"/>
      <c r="J61" s="365"/>
      <c r="K61" s="373">
        <v>0.9375</v>
      </c>
      <c r="L61" s="375">
        <f t="shared" si="10"/>
        <v>10.000000000000124</v>
      </c>
      <c r="M61" s="368">
        <f t="shared" si="25"/>
        <v>10</v>
      </c>
      <c r="N61" s="369">
        <v>0.94444444444444453</v>
      </c>
      <c r="O61" s="365"/>
      <c r="P61" s="365"/>
      <c r="Q61" s="365"/>
      <c r="R61" s="365"/>
      <c r="S61" s="365"/>
      <c r="T61" s="365"/>
      <c r="U61" s="365"/>
      <c r="V61" s="365"/>
      <c r="W61" s="365"/>
      <c r="X61" s="365"/>
      <c r="Y61" s="365"/>
      <c r="Z61" s="365"/>
      <c r="AA61" s="365"/>
      <c r="AB61" s="365"/>
      <c r="AC61" s="365"/>
      <c r="AD61" s="365"/>
      <c r="AE61" s="365"/>
      <c r="AF61" s="365"/>
      <c r="AG61" s="365"/>
      <c r="AH61" s="365"/>
      <c r="AI61" s="365"/>
      <c r="AJ61" s="365"/>
      <c r="AK61" s="365"/>
      <c r="AL61" s="365"/>
      <c r="AM61" s="365"/>
      <c r="AN61" s="365"/>
      <c r="AO61" s="365"/>
      <c r="AP61" s="365"/>
      <c r="AQ61" s="365"/>
      <c r="AR61" s="365"/>
      <c r="AS61" s="365"/>
      <c r="AT61" s="365"/>
      <c r="AU61" s="365"/>
      <c r="AV61" s="365">
        <v>10</v>
      </c>
      <c r="AW61" s="362"/>
      <c r="AX61" s="366"/>
      <c r="AY61" s="366"/>
      <c r="AZ61" s="289"/>
      <c r="BA61" s="367"/>
      <c r="BB61" s="290">
        <f>SUM(O61:BA61)</f>
        <v>10</v>
      </c>
      <c r="BC61" s="290">
        <f t="shared" si="3"/>
        <v>0.16666666666666666</v>
      </c>
    </row>
    <row r="62" spans="1:55">
      <c r="A62" s="362" t="s">
        <v>44</v>
      </c>
      <c r="B62" s="363" t="s">
        <v>344</v>
      </c>
      <c r="C62" s="362" t="s">
        <v>122</v>
      </c>
      <c r="D62" s="364" t="s">
        <v>292</v>
      </c>
      <c r="E62" s="365">
        <v>1</v>
      </c>
      <c r="F62" s="365">
        <v>1</v>
      </c>
      <c r="G62" s="365"/>
      <c r="H62" s="365"/>
      <c r="I62" s="365"/>
      <c r="J62" s="365"/>
      <c r="K62" s="373">
        <v>0.9375</v>
      </c>
      <c r="L62" s="375">
        <f t="shared" si="10"/>
        <v>0</v>
      </c>
      <c r="M62" s="368">
        <f t="shared" si="25"/>
        <v>15</v>
      </c>
      <c r="N62" s="369">
        <v>0.94791666666666663</v>
      </c>
      <c r="O62" s="365"/>
      <c r="P62" s="365"/>
      <c r="Q62" s="365"/>
      <c r="R62" s="365"/>
      <c r="S62" s="365"/>
      <c r="T62" s="365"/>
      <c r="U62" s="365"/>
      <c r="V62" s="365"/>
      <c r="W62" s="365"/>
      <c r="X62" s="365"/>
      <c r="Y62" s="365"/>
      <c r="Z62" s="365"/>
      <c r="AA62" s="365"/>
      <c r="AB62" s="365"/>
      <c r="AC62" s="365"/>
      <c r="AD62" s="365"/>
      <c r="AE62" s="365"/>
      <c r="AF62" s="365"/>
      <c r="AG62" s="365"/>
      <c r="AH62" s="365"/>
      <c r="AI62" s="365"/>
      <c r="AJ62" s="365"/>
      <c r="AK62" s="365"/>
      <c r="AL62" s="365"/>
      <c r="AM62" s="365"/>
      <c r="AN62" s="365"/>
      <c r="AO62" s="365"/>
      <c r="AP62" s="365"/>
      <c r="AQ62" s="365"/>
      <c r="AR62" s="365"/>
      <c r="AS62" s="365"/>
      <c r="AT62" s="365"/>
      <c r="AU62" s="365"/>
      <c r="AV62" s="365">
        <v>15</v>
      </c>
      <c r="AW62" s="362"/>
      <c r="AX62" s="366"/>
      <c r="AY62" s="366"/>
      <c r="AZ62" s="289"/>
      <c r="BA62" s="367"/>
      <c r="BB62" s="290">
        <f t="shared" si="2"/>
        <v>15</v>
      </c>
      <c r="BC62" s="290">
        <f t="shared" si="3"/>
        <v>0.25</v>
      </c>
    </row>
    <row r="63" spans="1:55">
      <c r="A63" s="362" t="s">
        <v>44</v>
      </c>
      <c r="B63" s="363" t="s">
        <v>322</v>
      </c>
      <c r="C63" s="362" t="s">
        <v>122</v>
      </c>
      <c r="D63" s="364" t="s">
        <v>129</v>
      </c>
      <c r="E63" s="365">
        <v>1</v>
      </c>
      <c r="F63" s="365">
        <v>1</v>
      </c>
      <c r="G63" s="365">
        <v>1</v>
      </c>
      <c r="H63" s="365">
        <v>1</v>
      </c>
      <c r="I63" s="365">
        <v>1</v>
      </c>
      <c r="J63" s="365">
        <v>1</v>
      </c>
      <c r="K63" s="373">
        <v>0.94791666666666663</v>
      </c>
      <c r="L63" s="375">
        <f t="shared" si="10"/>
        <v>14.999999999999947</v>
      </c>
      <c r="M63" s="368">
        <f t="shared" si="25"/>
        <v>10</v>
      </c>
      <c r="N63" s="369">
        <v>0.95486111111111116</v>
      </c>
      <c r="O63" s="365"/>
      <c r="P63" s="365"/>
      <c r="Q63" s="365"/>
      <c r="R63" s="365"/>
      <c r="S63" s="365"/>
      <c r="T63" s="365"/>
      <c r="U63" s="365"/>
      <c r="V63" s="365"/>
      <c r="W63" s="365"/>
      <c r="X63" s="365"/>
      <c r="Y63" s="365"/>
      <c r="Z63" s="365"/>
      <c r="AA63" s="365"/>
      <c r="AB63" s="365"/>
      <c r="AC63" s="365"/>
      <c r="AD63" s="365"/>
      <c r="AE63" s="365"/>
      <c r="AF63" s="365"/>
      <c r="AG63" s="365"/>
      <c r="AH63" s="365"/>
      <c r="AI63" s="365"/>
      <c r="AJ63" s="365"/>
      <c r="AK63" s="365"/>
      <c r="AL63" s="365"/>
      <c r="AM63" s="365"/>
      <c r="AN63" s="365"/>
      <c r="AO63" s="365"/>
      <c r="AP63" s="365"/>
      <c r="AQ63" s="365"/>
      <c r="AR63" s="365"/>
      <c r="AS63" s="365"/>
      <c r="AT63" s="365"/>
      <c r="AU63" s="365"/>
      <c r="AV63" s="365">
        <v>10</v>
      </c>
      <c r="AW63" s="362"/>
      <c r="AX63" s="366"/>
      <c r="AY63" s="366"/>
      <c r="AZ63" s="289"/>
      <c r="BA63" s="367"/>
      <c r="BB63" s="290">
        <f t="shared" si="2"/>
        <v>10</v>
      </c>
      <c r="BC63" s="290">
        <f t="shared" si="3"/>
        <v>0.16666666666666666</v>
      </c>
    </row>
    <row r="64" spans="1:55">
      <c r="S64" s="344"/>
      <c r="T64" s="344"/>
      <c r="U64" s="344"/>
      <c r="V64" s="344"/>
      <c r="W64" s="344"/>
      <c r="X64" s="344"/>
      <c r="Y64" s="344"/>
      <c r="Z64" s="344"/>
      <c r="AA64" s="344"/>
      <c r="AB64" s="344"/>
      <c r="AC64" s="344"/>
      <c r="AD64" s="344"/>
      <c r="AE64" s="344"/>
      <c r="AF64" s="344"/>
      <c r="AG64" s="344"/>
      <c r="AH64" s="344"/>
      <c r="AI64" s="344"/>
      <c r="AJ64" s="344"/>
      <c r="AK64" s="344"/>
      <c r="AL64" s="344"/>
      <c r="AM64" s="344"/>
      <c r="AN64" s="344"/>
      <c r="AO64" s="344"/>
      <c r="AP64" s="344"/>
      <c r="AQ64" s="344"/>
      <c r="AR64" s="344"/>
      <c r="AS64" s="344"/>
      <c r="AT64" s="344"/>
      <c r="AU64" s="344"/>
      <c r="AV64" s="344"/>
      <c r="AW64" s="344"/>
      <c r="BB64" s="345"/>
    </row>
  </sheetData>
  <autoFilter ref="A1:BA1">
    <sortState ref="A2:BA65">
      <sortCondition ref="K1"/>
    </sortState>
  </autoFilter>
  <conditionalFormatting sqref="AQ47:AV47 O2:AY3 O40:AZ40 O17:AY17 O7:AY7 O20:AY20 O24:AY26 O44:AY44 O60:AY60 BB2:BC3 BB7:BC7 BB58:BC60 O58:AY58 BB37:BC37 BB19:BC20 BB23:BC26 O49:AY50 BB15:BC17 BB10:BC10 O10:AY10 O13:AY13 BB13:BC13 BB28:BC28 O28:AY28 BB30:BC30 BB40:BC41 O46:AY46 O47:AK47 BB46:BC47 BB43:BC44 O42:U42 W42:AY42 O43:AD43 AF43:AY43 BB49:BC50 BB62:BC63 O62:AY65536">
    <cfRule type="cellIs" dxfId="341" priority="263" operator="equal">
      <formula>"x"</formula>
    </cfRule>
  </conditionalFormatting>
  <conditionalFormatting sqref="AX60:AY60">
    <cfRule type="cellIs" dxfId="340" priority="262" operator="equal">
      <formula>"x"</formula>
    </cfRule>
  </conditionalFormatting>
  <conditionalFormatting sqref="O13:T13 AA13:AX13 AA17:AX17 O17:T17">
    <cfRule type="cellIs" dxfId="339" priority="261" operator="equal">
      <formula>"x"</formula>
    </cfRule>
  </conditionalFormatting>
  <conditionalFormatting sqref="O44:AY44 AW47:AY47">
    <cfRule type="cellIs" dxfId="338" priority="256" operator="equal">
      <formula>"x"</formula>
    </cfRule>
  </conditionalFormatting>
  <conditionalFormatting sqref="Z47:AE47 AH47:AI47 AQ47:AT47">
    <cfRule type="cellIs" dxfId="337" priority="255" operator="equal">
      <formula>"x"</formula>
    </cfRule>
  </conditionalFormatting>
  <conditionalFormatting sqref="AX43:AY43">
    <cfRule type="cellIs" dxfId="336" priority="253" operator="equal">
      <formula>"x"</formula>
    </cfRule>
  </conditionalFormatting>
  <conditionalFormatting sqref="AX43:AY43">
    <cfRule type="cellIs" dxfId="335" priority="252" operator="equal">
      <formula>"x"</formula>
    </cfRule>
  </conditionalFormatting>
  <conditionalFormatting sqref="O60:AT60 AV60:AW60">
    <cfRule type="cellIs" dxfId="334" priority="251" operator="equal">
      <formula>"x"</formula>
    </cfRule>
  </conditionalFormatting>
  <conditionalFormatting sqref="X28:AY28">
    <cfRule type="cellIs" dxfId="333" priority="246" operator="equal">
      <formula>"x"</formula>
    </cfRule>
  </conditionalFormatting>
  <conditionalFormatting sqref="Y46">
    <cfRule type="cellIs" dxfId="332" priority="240" operator="equal">
      <formula>"x"</formula>
    </cfRule>
  </conditionalFormatting>
  <conditionalFormatting sqref="X46">
    <cfRule type="cellIs" dxfId="331" priority="242" operator="equal">
      <formula>"x"</formula>
    </cfRule>
  </conditionalFormatting>
  <conditionalFormatting sqref="AL46">
    <cfRule type="cellIs" dxfId="330" priority="241" operator="equal">
      <formula>"x"</formula>
    </cfRule>
  </conditionalFormatting>
  <conditionalFormatting sqref="O46:W46 AM46:AY46 Z46:AK46">
    <cfRule type="cellIs" dxfId="329" priority="243" operator="equal">
      <formula>"x"</formula>
    </cfRule>
  </conditionalFormatting>
  <conditionalFormatting sqref="AQ47:AY47">
    <cfRule type="cellIs" dxfId="328" priority="239" operator="equal">
      <formula>"x"</formula>
    </cfRule>
  </conditionalFormatting>
  <conditionalFormatting sqref="Y25">
    <cfRule type="cellIs" dxfId="327" priority="234" operator="equal">
      <formula>"x"</formula>
    </cfRule>
  </conditionalFormatting>
  <conditionalFormatting sqref="X25">
    <cfRule type="cellIs" dxfId="326" priority="236" operator="equal">
      <formula>"x"</formula>
    </cfRule>
  </conditionalFormatting>
  <conditionalFormatting sqref="AL25">
    <cfRule type="cellIs" dxfId="325" priority="235" operator="equal">
      <formula>"x"</formula>
    </cfRule>
  </conditionalFormatting>
  <conditionalFormatting sqref="O25:W25 Z25:AK25 AM25:AY25">
    <cfRule type="cellIs" dxfId="324" priority="237" operator="equal">
      <formula>"x"</formula>
    </cfRule>
  </conditionalFormatting>
  <conditionalFormatting sqref="Y26">
    <cfRule type="cellIs" dxfId="323" priority="230" operator="equal">
      <formula>"x"</formula>
    </cfRule>
  </conditionalFormatting>
  <conditionalFormatting sqref="X26">
    <cfRule type="cellIs" dxfId="322" priority="232" operator="equal">
      <formula>"x"</formula>
    </cfRule>
  </conditionalFormatting>
  <conditionalFormatting sqref="AL26">
    <cfRule type="cellIs" dxfId="321" priority="231" operator="equal">
      <formula>"x"</formula>
    </cfRule>
  </conditionalFormatting>
  <conditionalFormatting sqref="O26:W26 Z26:AK26 AM26:AY26">
    <cfRule type="cellIs" dxfId="320" priority="233" operator="equal">
      <formula>"x"</formula>
    </cfRule>
  </conditionalFormatting>
  <conditionalFormatting sqref="W43">
    <cfRule type="cellIs" dxfId="319" priority="228" operator="equal">
      <formula>"x"</formula>
    </cfRule>
  </conditionalFormatting>
  <conditionalFormatting sqref="V43">
    <cfRule type="cellIs" dxfId="318" priority="227" operator="equal">
      <formula>"x"</formula>
    </cfRule>
  </conditionalFormatting>
  <conditionalFormatting sqref="AF47">
    <cfRule type="cellIs" dxfId="317" priority="214" operator="equal">
      <formula>"x"</formula>
    </cfRule>
  </conditionalFormatting>
  <conditionalFormatting sqref="AG47">
    <cfRule type="cellIs" dxfId="316" priority="211" operator="equal">
      <formula>"x"</formula>
    </cfRule>
  </conditionalFormatting>
  <conditionalFormatting sqref="AJ47">
    <cfRule type="cellIs" dxfId="315" priority="208" operator="equal">
      <formula>"x"</formula>
    </cfRule>
  </conditionalFormatting>
  <conditionalFormatting sqref="AK47">
    <cfRule type="cellIs" dxfId="314" priority="205" operator="equal">
      <formula>"x"</formula>
    </cfRule>
  </conditionalFormatting>
  <conditionalFormatting sqref="O63:AY63">
    <cfRule type="cellIs" dxfId="313" priority="192" operator="equal">
      <formula>"x"</formula>
    </cfRule>
  </conditionalFormatting>
  <conditionalFormatting sqref="AU60">
    <cfRule type="cellIs" dxfId="312" priority="191" operator="equal">
      <formula>"x"</formula>
    </cfRule>
  </conditionalFormatting>
  <conditionalFormatting sqref="AJ43">
    <cfRule type="cellIs" dxfId="311" priority="189" operator="equal">
      <formula>"x"</formula>
    </cfRule>
  </conditionalFormatting>
  <conditionalFormatting sqref="AL47:AP47">
    <cfRule type="cellIs" dxfId="310" priority="185" operator="equal">
      <formula>"x"</formula>
    </cfRule>
  </conditionalFormatting>
  <conditionalFormatting sqref="AL47:AP47">
    <cfRule type="cellIs" dxfId="309" priority="184" operator="equal">
      <formula>"x"</formula>
    </cfRule>
  </conditionalFormatting>
  <conditionalFormatting sqref="AL47:AP47">
    <cfRule type="cellIs" dxfId="308" priority="183" operator="equal">
      <formula>"x"</formula>
    </cfRule>
  </conditionalFormatting>
  <conditionalFormatting sqref="O23:AY23">
    <cfRule type="cellIs" dxfId="307" priority="182" operator="equal">
      <formula>"x"</formula>
    </cfRule>
  </conditionalFormatting>
  <conditionalFormatting sqref="O37:AZ37">
    <cfRule type="cellIs" dxfId="306" priority="181" operator="equal">
      <formula>"x"</formula>
    </cfRule>
  </conditionalFormatting>
  <conditionalFormatting sqref="O37:AY37">
    <cfRule type="cellIs" dxfId="305" priority="180" operator="equal">
      <formula>"x"</formula>
    </cfRule>
  </conditionalFormatting>
  <conditionalFormatting sqref="O19:AY19">
    <cfRule type="cellIs" dxfId="304" priority="172" operator="equal">
      <formula>"x"</formula>
    </cfRule>
  </conditionalFormatting>
  <conditionalFormatting sqref="O15:AY15">
    <cfRule type="cellIs" dxfId="303" priority="171" operator="equal">
      <formula>"x"</formula>
    </cfRule>
  </conditionalFormatting>
  <conditionalFormatting sqref="AA15:AX15 O15:T15">
    <cfRule type="cellIs" dxfId="302" priority="170" operator="equal">
      <formula>"x"</formula>
    </cfRule>
  </conditionalFormatting>
  <conditionalFormatting sqref="O16:AY16">
    <cfRule type="cellIs" dxfId="301" priority="169" operator="equal">
      <formula>"x"</formula>
    </cfRule>
  </conditionalFormatting>
  <conditionalFormatting sqref="AA16:AX16 O16:T16">
    <cfRule type="cellIs" dxfId="300" priority="168" operator="equal">
      <formula>"x"</formula>
    </cfRule>
  </conditionalFormatting>
  <conditionalFormatting sqref="O41:AY41">
    <cfRule type="cellIs" dxfId="299" priority="152" operator="equal">
      <formula>"x"</formula>
    </cfRule>
  </conditionalFormatting>
  <conditionalFormatting sqref="AX41:AY41">
    <cfRule type="cellIs" dxfId="298" priority="151" operator="equal">
      <formula>"x"</formula>
    </cfRule>
  </conditionalFormatting>
  <conditionalFormatting sqref="AX41:AY41">
    <cfRule type="cellIs" dxfId="297" priority="150" operator="equal">
      <formula>"x"</formula>
    </cfRule>
  </conditionalFormatting>
  <conditionalFormatting sqref="W41">
    <cfRule type="cellIs" dxfId="296" priority="149" operator="equal">
      <formula>"x"</formula>
    </cfRule>
  </conditionalFormatting>
  <conditionalFormatting sqref="V41">
    <cfRule type="cellIs" dxfId="295" priority="148" operator="equal">
      <formula>"x"</formula>
    </cfRule>
  </conditionalFormatting>
  <conditionalFormatting sqref="AJ41">
    <cfRule type="cellIs" dxfId="294" priority="147" operator="equal">
      <formula>"x"</formula>
    </cfRule>
  </conditionalFormatting>
  <conditionalFormatting sqref="O30:AY30 O34:AY34">
    <cfRule type="cellIs" dxfId="293" priority="146" operator="equal">
      <formula>"x"</formula>
    </cfRule>
  </conditionalFormatting>
  <conditionalFormatting sqref="U30:AF30 AH30 AH34 U34:AF34">
    <cfRule type="cellIs" dxfId="292" priority="145" operator="equal">
      <formula>"x"</formula>
    </cfRule>
  </conditionalFormatting>
  <conditionalFormatting sqref="O30:T30 AV30:AX30 AV34:AX34 O34:T34">
    <cfRule type="cellIs" dxfId="291" priority="144" operator="equal">
      <formula>"x"</formula>
    </cfRule>
  </conditionalFormatting>
  <conditionalFormatting sqref="AI30:AU30 AI34:AU34">
    <cfRule type="cellIs" dxfId="290" priority="143" operator="equal">
      <formula>"x"</formula>
    </cfRule>
  </conditionalFormatting>
  <conditionalFormatting sqref="AG30 AG34">
    <cfRule type="cellIs" dxfId="289" priority="142" operator="equal">
      <formula>"x"</formula>
    </cfRule>
  </conditionalFormatting>
  <conditionalFormatting sqref="O59:AY59">
    <cfRule type="cellIs" dxfId="288" priority="140" operator="equal">
      <formula>"x"</formula>
    </cfRule>
  </conditionalFormatting>
  <conditionalFormatting sqref="O5:AY5 BB5:BC5">
    <cfRule type="cellIs" dxfId="287" priority="137" operator="equal">
      <formula>"x"</formula>
    </cfRule>
  </conditionalFormatting>
  <conditionalFormatting sqref="D2:D3 D58:D60 D37 D23:D26 D50 D15 D10 D41 D13 D28 D46:D47 D43:D44 D5 D7 D62:D63">
    <cfRule type="containsText" dxfId="286" priority="136" stopIfTrue="1" operator="containsText" text="Fixed">
      <formula>NOT(ISERROR(SEARCH("Fixed",D2)))</formula>
    </cfRule>
  </conditionalFormatting>
  <conditionalFormatting sqref="O51:AY52 BB51:BC52 BB55:BC55 O55:AY55 O57:AY57 BB57:BC57">
    <cfRule type="cellIs" dxfId="285" priority="133" operator="equal">
      <formula>"x"</formula>
    </cfRule>
  </conditionalFormatting>
  <conditionalFormatting sqref="AX55:AY55">
    <cfRule type="cellIs" dxfId="284" priority="132" operator="equal">
      <formula>"x"</formula>
    </cfRule>
  </conditionalFormatting>
  <conditionalFormatting sqref="O57:AY57">
    <cfRule type="cellIs" dxfId="283" priority="131" operator="equal">
      <formula>"x"</formula>
    </cfRule>
  </conditionalFormatting>
  <conditionalFormatting sqref="AG57">
    <cfRule type="cellIs" dxfId="282" priority="130" operator="equal">
      <formula>"x"</formula>
    </cfRule>
  </conditionalFormatting>
  <conditionalFormatting sqref="AG57">
    <cfRule type="cellIs" dxfId="281" priority="129" operator="equal">
      <formula>"x"</formula>
    </cfRule>
  </conditionalFormatting>
  <conditionalFormatting sqref="AS57">
    <cfRule type="cellIs" dxfId="280" priority="128" operator="equal">
      <formula>"x"</formula>
    </cfRule>
  </conditionalFormatting>
  <conditionalFormatting sqref="AS57">
    <cfRule type="cellIs" dxfId="279" priority="127" operator="equal">
      <formula>"x"</formula>
    </cfRule>
  </conditionalFormatting>
  <conditionalFormatting sqref="AM57">
    <cfRule type="cellIs" dxfId="278" priority="126" operator="equal">
      <formula>"x"</formula>
    </cfRule>
  </conditionalFormatting>
  <conditionalFormatting sqref="AM57">
    <cfRule type="cellIs" dxfId="277" priority="125" operator="equal">
      <formula>"x"</formula>
    </cfRule>
  </conditionalFormatting>
  <conditionalFormatting sqref="D51:D52 D55 D57">
    <cfRule type="containsText" dxfId="276" priority="124" stopIfTrue="1" operator="containsText" text="Fixed">
      <formula>NOT(ISERROR(SEARCH("Fixed",D51)))</formula>
    </cfRule>
  </conditionalFormatting>
  <conditionalFormatting sqref="O53:AY53 BB53:BC53">
    <cfRule type="cellIs" dxfId="275" priority="123" operator="equal">
      <formula>"x"</formula>
    </cfRule>
  </conditionalFormatting>
  <conditionalFormatting sqref="D53">
    <cfRule type="containsText" dxfId="274" priority="122" stopIfTrue="1" operator="containsText" text="Fixed">
      <formula>NOT(ISERROR(SEARCH("Fixed",D53)))</formula>
    </cfRule>
  </conditionalFormatting>
  <conditionalFormatting sqref="BB61:BC61">
    <cfRule type="cellIs" dxfId="273" priority="119" operator="equal">
      <formula>"x"</formula>
    </cfRule>
  </conditionalFormatting>
  <conditionalFormatting sqref="O61:AY61">
    <cfRule type="cellIs" dxfId="272" priority="118" operator="equal">
      <formula>"x"</formula>
    </cfRule>
  </conditionalFormatting>
  <conditionalFormatting sqref="O61:AY61">
    <cfRule type="cellIs" dxfId="271" priority="117" operator="equal">
      <formula>"x"</formula>
    </cfRule>
  </conditionalFormatting>
  <conditionalFormatting sqref="D61">
    <cfRule type="containsText" dxfId="270" priority="116" stopIfTrue="1" operator="containsText" text="Fixed">
      <formula>NOT(ISERROR(SEARCH("Fixed",D61)))</formula>
    </cfRule>
  </conditionalFormatting>
  <conditionalFormatting sqref="AA21:AX21 O21:T21">
    <cfRule type="cellIs" dxfId="269" priority="108" operator="equal">
      <formula>"x"</formula>
    </cfRule>
  </conditionalFormatting>
  <conditionalFormatting sqref="O18:AY18 BB18:BC18">
    <cfRule type="cellIs" dxfId="268" priority="111" operator="equal">
      <formula>"x"</formula>
    </cfRule>
  </conditionalFormatting>
  <conditionalFormatting sqref="AA18:AX18 O18:T18">
    <cfRule type="cellIs" dxfId="267" priority="110" operator="equal">
      <formula>"x"</formula>
    </cfRule>
  </conditionalFormatting>
  <conditionalFormatting sqref="O21:AY21 BB21:BC21">
    <cfRule type="cellIs" dxfId="266" priority="109" operator="equal">
      <formula>"x"</formula>
    </cfRule>
  </conditionalFormatting>
  <conditionalFormatting sqref="D21">
    <cfRule type="containsText" dxfId="265" priority="107" stopIfTrue="1" operator="containsText" text="Fixed">
      <formula>NOT(ISERROR(SEARCH("Fixed",D21)))</formula>
    </cfRule>
  </conditionalFormatting>
  <conditionalFormatting sqref="D16:D20">
    <cfRule type="containsText" dxfId="264" priority="106" stopIfTrue="1" operator="containsText" text="Fixed">
      <formula>NOT(ISERROR(SEARCH("Fixed",D16)))</formula>
    </cfRule>
  </conditionalFormatting>
  <conditionalFormatting sqref="D30">
    <cfRule type="containsText" dxfId="263" priority="104" stopIfTrue="1" operator="containsText" text="Fixed">
      <formula>NOT(ISERROR(SEARCH("Fixed",D30)))</formula>
    </cfRule>
  </conditionalFormatting>
  <conditionalFormatting sqref="D34">
    <cfRule type="containsText" dxfId="262" priority="103" stopIfTrue="1" operator="containsText" text="Fixed">
      <formula>NOT(ISERROR(SEARCH("Fixed",D34)))</formula>
    </cfRule>
  </conditionalFormatting>
  <conditionalFormatting sqref="D40">
    <cfRule type="containsText" dxfId="261" priority="102" stopIfTrue="1" operator="containsText" text="Fixed">
      <formula>NOT(ISERROR(SEARCH("Fixed",D40)))</formula>
    </cfRule>
  </conditionalFormatting>
  <conditionalFormatting sqref="D49">
    <cfRule type="containsText" dxfId="260" priority="101" stopIfTrue="1" operator="containsText" text="Fixed">
      <formula>NOT(ISERROR(SEARCH("Fixed",D49)))</formula>
    </cfRule>
  </conditionalFormatting>
  <conditionalFormatting sqref="BB64">
    <cfRule type="cellIs" dxfId="259" priority="98" operator="equal">
      <formula>"x"</formula>
    </cfRule>
  </conditionalFormatting>
  <conditionalFormatting sqref="O14:AY14 BB14:BC14">
    <cfRule type="cellIs" dxfId="258" priority="97" operator="equal">
      <formula>"x"</formula>
    </cfRule>
  </conditionalFormatting>
  <conditionalFormatting sqref="O14:T14 AA14:AX14">
    <cfRule type="cellIs" dxfId="257" priority="96" operator="equal">
      <formula>"x"</formula>
    </cfRule>
  </conditionalFormatting>
  <conditionalFormatting sqref="D14">
    <cfRule type="containsText" dxfId="256" priority="95" stopIfTrue="1" operator="containsText" text="Fixed">
      <formula>NOT(ISERROR(SEARCH("Fixed",D14)))</formula>
    </cfRule>
  </conditionalFormatting>
  <conditionalFormatting sqref="O8:AY8 BB8:BC8">
    <cfRule type="cellIs" dxfId="255" priority="94" operator="equal">
      <formula>"x"</formula>
    </cfRule>
  </conditionalFormatting>
  <conditionalFormatting sqref="D8">
    <cfRule type="containsText" dxfId="254" priority="93" stopIfTrue="1" operator="containsText" text="Fixed">
      <formula>NOT(ISERROR(SEARCH("Fixed",D8)))</formula>
    </cfRule>
  </conditionalFormatting>
  <conditionalFormatting sqref="BB12:BC12 O12:AY12">
    <cfRule type="cellIs" dxfId="253" priority="92" operator="equal">
      <formula>"x"</formula>
    </cfRule>
  </conditionalFormatting>
  <conditionalFormatting sqref="D12">
    <cfRule type="containsText" dxfId="252" priority="91" stopIfTrue="1" operator="containsText" text="Fixed">
      <formula>NOT(ISERROR(SEARCH("Fixed",D12)))</formula>
    </cfRule>
  </conditionalFormatting>
  <conditionalFormatting sqref="BB9:BC9 O9:AY9">
    <cfRule type="cellIs" dxfId="251" priority="90" operator="equal">
      <formula>"x"</formula>
    </cfRule>
  </conditionalFormatting>
  <conditionalFormatting sqref="D9">
    <cfRule type="containsText" dxfId="250" priority="89" stopIfTrue="1" operator="containsText" text="Fixed">
      <formula>NOT(ISERROR(SEARCH("Fixed",D9)))</formula>
    </cfRule>
  </conditionalFormatting>
  <conditionalFormatting sqref="BB11:BC11 O11:AY11">
    <cfRule type="cellIs" dxfId="249" priority="88" operator="equal">
      <formula>"x"</formula>
    </cfRule>
  </conditionalFormatting>
  <conditionalFormatting sqref="D11">
    <cfRule type="containsText" dxfId="248" priority="87" stopIfTrue="1" operator="containsText" text="Fixed">
      <formula>NOT(ISERROR(SEARCH("Fixed",D11)))</formula>
    </cfRule>
  </conditionalFormatting>
  <conditionalFormatting sqref="O22:AY22 BB22:BC22">
    <cfRule type="cellIs" dxfId="247" priority="86" operator="equal">
      <formula>"x"</formula>
    </cfRule>
  </conditionalFormatting>
  <conditionalFormatting sqref="AA22:AX22 O22:T22">
    <cfRule type="cellIs" dxfId="246" priority="85" operator="equal">
      <formula>"x"</formula>
    </cfRule>
  </conditionalFormatting>
  <conditionalFormatting sqref="D22">
    <cfRule type="containsText" dxfId="245" priority="84" stopIfTrue="1" operator="containsText" text="Fixed">
      <formula>NOT(ISERROR(SEARCH("Fixed",D22)))</formula>
    </cfRule>
  </conditionalFormatting>
  <conditionalFormatting sqref="O27:AY27 BB27:BC27">
    <cfRule type="cellIs" dxfId="244" priority="83" operator="equal">
      <formula>"x"</formula>
    </cfRule>
  </conditionalFormatting>
  <conditionalFormatting sqref="Y27">
    <cfRule type="cellIs" dxfId="243" priority="79" operator="equal">
      <formula>"x"</formula>
    </cfRule>
  </conditionalFormatting>
  <conditionalFormatting sqref="X27">
    <cfRule type="cellIs" dxfId="242" priority="81" operator="equal">
      <formula>"x"</formula>
    </cfRule>
  </conditionalFormatting>
  <conditionalFormatting sqref="AL27">
    <cfRule type="cellIs" dxfId="241" priority="80" operator="equal">
      <formula>"x"</formula>
    </cfRule>
  </conditionalFormatting>
  <conditionalFormatting sqref="O27:W27 Z27:AK27 AM27:AY27">
    <cfRule type="cellIs" dxfId="240" priority="82" operator="equal">
      <formula>"x"</formula>
    </cfRule>
  </conditionalFormatting>
  <conditionalFormatting sqref="D27">
    <cfRule type="containsText" dxfId="239" priority="78" stopIfTrue="1" operator="containsText" text="Fixed">
      <formula>NOT(ISERROR(SEARCH("Fixed",D27)))</formula>
    </cfRule>
  </conditionalFormatting>
  <conditionalFormatting sqref="BB29:BC29 O29:AY29">
    <cfRule type="cellIs" dxfId="238" priority="77" operator="equal">
      <formula>"x"</formula>
    </cfRule>
  </conditionalFormatting>
  <conditionalFormatting sqref="X29:AY29">
    <cfRule type="cellIs" dxfId="237" priority="76" operator="equal">
      <formula>"x"</formula>
    </cfRule>
  </conditionalFormatting>
  <conditionalFormatting sqref="D29">
    <cfRule type="containsText" dxfId="236" priority="75" stopIfTrue="1" operator="containsText" text="Fixed">
      <formula>NOT(ISERROR(SEARCH("Fixed",D29)))</formula>
    </cfRule>
  </conditionalFormatting>
  <conditionalFormatting sqref="BB32:BC32">
    <cfRule type="cellIs" dxfId="235" priority="74" operator="equal">
      <formula>"x"</formula>
    </cfRule>
  </conditionalFormatting>
  <conditionalFormatting sqref="O32:AY32">
    <cfRule type="cellIs" dxfId="234" priority="73" operator="equal">
      <formula>"x"</formula>
    </cfRule>
  </conditionalFormatting>
  <conditionalFormatting sqref="U32:AF32 AH32">
    <cfRule type="cellIs" dxfId="233" priority="72" operator="equal">
      <formula>"x"</formula>
    </cfRule>
  </conditionalFormatting>
  <conditionalFormatting sqref="O32:T32 AV32:AX32">
    <cfRule type="cellIs" dxfId="232" priority="71" operator="equal">
      <formula>"x"</formula>
    </cfRule>
  </conditionalFormatting>
  <conditionalFormatting sqref="AI32:AU32">
    <cfRule type="cellIs" dxfId="231" priority="70" operator="equal">
      <formula>"x"</formula>
    </cfRule>
  </conditionalFormatting>
  <conditionalFormatting sqref="AG32">
    <cfRule type="cellIs" dxfId="230" priority="69" operator="equal">
      <formula>"x"</formula>
    </cfRule>
  </conditionalFormatting>
  <conditionalFormatting sqref="D32">
    <cfRule type="containsText" dxfId="229" priority="68" stopIfTrue="1" operator="containsText" text="Fixed">
      <formula>NOT(ISERROR(SEARCH("Fixed",D32)))</formula>
    </cfRule>
  </conditionalFormatting>
  <conditionalFormatting sqref="BB31:BC31">
    <cfRule type="cellIs" dxfId="228" priority="67" operator="equal">
      <formula>"x"</formula>
    </cfRule>
  </conditionalFormatting>
  <conditionalFormatting sqref="O31:AY31">
    <cfRule type="cellIs" dxfId="227" priority="66" operator="equal">
      <formula>"x"</formula>
    </cfRule>
  </conditionalFormatting>
  <conditionalFormatting sqref="U31:AF31 AH31">
    <cfRule type="cellIs" dxfId="226" priority="65" operator="equal">
      <formula>"x"</formula>
    </cfRule>
  </conditionalFormatting>
  <conditionalFormatting sqref="O31:T31 AV31:AX31">
    <cfRule type="cellIs" dxfId="225" priority="64" operator="equal">
      <formula>"x"</formula>
    </cfRule>
  </conditionalFormatting>
  <conditionalFormatting sqref="AI31:AU31">
    <cfRule type="cellIs" dxfId="224" priority="63" operator="equal">
      <formula>"x"</formula>
    </cfRule>
  </conditionalFormatting>
  <conditionalFormatting sqref="AG31">
    <cfRule type="cellIs" dxfId="223" priority="62" operator="equal">
      <formula>"x"</formula>
    </cfRule>
  </conditionalFormatting>
  <conditionalFormatting sqref="D31">
    <cfRule type="containsText" dxfId="222" priority="61" stopIfTrue="1" operator="containsText" text="Fixed">
      <formula>NOT(ISERROR(SEARCH("Fixed",D31)))</formula>
    </cfRule>
  </conditionalFormatting>
  <conditionalFormatting sqref="O36:AY36">
    <cfRule type="cellIs" dxfId="221" priority="59" operator="equal">
      <formula>"x"</formula>
    </cfRule>
  </conditionalFormatting>
  <conditionalFormatting sqref="AV36:AX36 O36:T36">
    <cfRule type="cellIs" dxfId="220" priority="57" operator="equal">
      <formula>"x"</formula>
    </cfRule>
  </conditionalFormatting>
  <conditionalFormatting sqref="AH36 U36:AF36">
    <cfRule type="cellIs" dxfId="219" priority="58" operator="equal">
      <formula>"x"</formula>
    </cfRule>
  </conditionalFormatting>
  <conditionalFormatting sqref="AG36">
    <cfRule type="cellIs" dxfId="218" priority="55" operator="equal">
      <formula>"x"</formula>
    </cfRule>
  </conditionalFormatting>
  <conditionalFormatting sqref="AI36:AU36">
    <cfRule type="cellIs" dxfId="217" priority="56" operator="equal">
      <formula>"x"</formula>
    </cfRule>
  </conditionalFormatting>
  <conditionalFormatting sqref="AI35:AU35">
    <cfRule type="cellIs" dxfId="216" priority="49" operator="equal">
      <formula>"x"</formula>
    </cfRule>
  </conditionalFormatting>
  <conditionalFormatting sqref="D36">
    <cfRule type="containsText" dxfId="215" priority="54" stopIfTrue="1" operator="containsText" text="Fixed">
      <formula>NOT(ISERROR(SEARCH("Fixed",D36)))</formula>
    </cfRule>
  </conditionalFormatting>
  <conditionalFormatting sqref="AH35 U35:AF35">
    <cfRule type="cellIs" dxfId="214" priority="51" operator="equal">
      <formula>"x"</formula>
    </cfRule>
  </conditionalFormatting>
  <conditionalFormatting sqref="O35:AY35">
    <cfRule type="cellIs" dxfId="213" priority="52" operator="equal">
      <formula>"x"</formula>
    </cfRule>
  </conditionalFormatting>
  <conditionalFormatting sqref="AV35:AX35 O35:T35">
    <cfRule type="cellIs" dxfId="212" priority="50" operator="equal">
      <formula>"x"</formula>
    </cfRule>
  </conditionalFormatting>
  <conditionalFormatting sqref="AG33">
    <cfRule type="cellIs" dxfId="211" priority="41" operator="equal">
      <formula>"x"</formula>
    </cfRule>
  </conditionalFormatting>
  <conditionalFormatting sqref="AG35">
    <cfRule type="cellIs" dxfId="210" priority="48" operator="equal">
      <formula>"x"</formula>
    </cfRule>
  </conditionalFormatting>
  <conditionalFormatting sqref="D35">
    <cfRule type="containsText" dxfId="209" priority="47" stopIfTrue="1" operator="containsText" text="Fixed">
      <formula>NOT(ISERROR(SEARCH("Fixed",D35)))</formula>
    </cfRule>
  </conditionalFormatting>
  <conditionalFormatting sqref="AI33:AU33">
    <cfRule type="cellIs" dxfId="208" priority="42" operator="equal">
      <formula>"x"</formula>
    </cfRule>
  </conditionalFormatting>
  <conditionalFormatting sqref="O33:AY33">
    <cfRule type="cellIs" dxfId="207" priority="45" operator="equal">
      <formula>"x"</formula>
    </cfRule>
  </conditionalFormatting>
  <conditionalFormatting sqref="AH33 U33:AF33">
    <cfRule type="cellIs" dxfId="206" priority="44" operator="equal">
      <formula>"x"</formula>
    </cfRule>
  </conditionalFormatting>
  <conditionalFormatting sqref="AV33:AX33 O33:T33">
    <cfRule type="cellIs" dxfId="205" priority="43" operator="equal">
      <formula>"x"</formula>
    </cfRule>
  </conditionalFormatting>
  <conditionalFormatting sqref="BB34:BC34">
    <cfRule type="cellIs" dxfId="204" priority="38" operator="equal">
      <formula>"x"</formula>
    </cfRule>
  </conditionalFormatting>
  <conditionalFormatting sqref="D33">
    <cfRule type="containsText" dxfId="203" priority="40" stopIfTrue="1" operator="containsText" text="Fixed">
      <formula>NOT(ISERROR(SEARCH("Fixed",D33)))</formula>
    </cfRule>
  </conditionalFormatting>
  <conditionalFormatting sqref="BB33:BC33">
    <cfRule type="cellIs" dxfId="202" priority="39" operator="equal">
      <formula>"x"</formula>
    </cfRule>
  </conditionalFormatting>
  <conditionalFormatting sqref="BB35:BC35">
    <cfRule type="cellIs" dxfId="201" priority="37" operator="equal">
      <formula>"x"</formula>
    </cfRule>
  </conditionalFormatting>
  <conditionalFormatting sqref="BB36:BC36">
    <cfRule type="cellIs" dxfId="200" priority="36" operator="equal">
      <formula>"x"</formula>
    </cfRule>
  </conditionalFormatting>
  <conditionalFormatting sqref="O39:AZ39 BB39:BC39">
    <cfRule type="cellIs" dxfId="199" priority="35" operator="equal">
      <formula>"x"</formula>
    </cfRule>
  </conditionalFormatting>
  <conditionalFormatting sqref="D39">
    <cfRule type="containsText" dxfId="198" priority="34" stopIfTrue="1" operator="containsText" text="Fixed">
      <formula>NOT(ISERROR(SEARCH("Fixed",D39)))</formula>
    </cfRule>
  </conditionalFormatting>
  <conditionalFormatting sqref="O38:AZ38 BB38:BC38">
    <cfRule type="cellIs" dxfId="197" priority="33" operator="equal">
      <formula>"x"</formula>
    </cfRule>
  </conditionalFormatting>
  <conditionalFormatting sqref="D38">
    <cfRule type="containsText" dxfId="196" priority="32" stopIfTrue="1" operator="containsText" text="Fixed">
      <formula>NOT(ISERROR(SEARCH("Fixed",D38)))</formula>
    </cfRule>
  </conditionalFormatting>
  <conditionalFormatting sqref="BB45:BC45 O45:AY45">
    <cfRule type="cellIs" dxfId="195" priority="31" operator="equal">
      <formula>"x"</formula>
    </cfRule>
  </conditionalFormatting>
  <conditionalFormatting sqref="Y45">
    <cfRule type="cellIs" dxfId="194" priority="27" operator="equal">
      <formula>"x"</formula>
    </cfRule>
  </conditionalFormatting>
  <conditionalFormatting sqref="X45">
    <cfRule type="cellIs" dxfId="193" priority="29" operator="equal">
      <formula>"x"</formula>
    </cfRule>
  </conditionalFormatting>
  <conditionalFormatting sqref="AL45">
    <cfRule type="cellIs" dxfId="192" priority="28" operator="equal">
      <formula>"x"</formula>
    </cfRule>
  </conditionalFormatting>
  <conditionalFormatting sqref="O45:W45 AM45:AY45 Z45:AK45">
    <cfRule type="cellIs" dxfId="191" priority="30" operator="equal">
      <formula>"x"</formula>
    </cfRule>
  </conditionalFormatting>
  <conditionalFormatting sqref="D45">
    <cfRule type="containsText" dxfId="190" priority="26" stopIfTrue="1" operator="containsText" text="Fixed">
      <formula>NOT(ISERROR(SEARCH("Fixed",D45)))</formula>
    </cfRule>
  </conditionalFormatting>
  <conditionalFormatting sqref="O48:AY48 BB48:BC48">
    <cfRule type="cellIs" dxfId="189" priority="25" operator="equal">
      <formula>"x"</formula>
    </cfRule>
  </conditionalFormatting>
  <conditionalFormatting sqref="D48">
    <cfRule type="containsText" dxfId="188" priority="24" stopIfTrue="1" operator="containsText" text="Fixed">
      <formula>NOT(ISERROR(SEARCH("Fixed",D48)))</formula>
    </cfRule>
  </conditionalFormatting>
  <conditionalFormatting sqref="BB54:BC54 O54:AY54">
    <cfRule type="cellIs" dxfId="187" priority="23" operator="equal">
      <formula>"x"</formula>
    </cfRule>
  </conditionalFormatting>
  <conditionalFormatting sqref="AX54:AY54">
    <cfRule type="cellIs" dxfId="186" priority="22" operator="equal">
      <formula>"x"</formula>
    </cfRule>
  </conditionalFormatting>
  <conditionalFormatting sqref="D54">
    <cfRule type="containsText" dxfId="185" priority="21" stopIfTrue="1" operator="containsText" text="Fixed">
      <formula>NOT(ISERROR(SEARCH("Fixed",D54)))</formula>
    </cfRule>
  </conditionalFormatting>
  <conditionalFormatting sqref="O56:AY56 BB56:BC56">
    <cfRule type="cellIs" dxfId="184" priority="20" operator="equal">
      <formula>"x"</formula>
    </cfRule>
  </conditionalFormatting>
  <conditionalFormatting sqref="O56:AY56">
    <cfRule type="cellIs" dxfId="183" priority="19" operator="equal">
      <formula>"x"</formula>
    </cfRule>
  </conditionalFormatting>
  <conditionalFormatting sqref="AG56">
    <cfRule type="cellIs" dxfId="182" priority="18" operator="equal">
      <formula>"x"</formula>
    </cfRule>
  </conditionalFormatting>
  <conditionalFormatting sqref="AG56">
    <cfRule type="cellIs" dxfId="181" priority="17" operator="equal">
      <formula>"x"</formula>
    </cfRule>
  </conditionalFormatting>
  <conditionalFormatting sqref="AS56">
    <cfRule type="cellIs" dxfId="180" priority="16" operator="equal">
      <formula>"x"</formula>
    </cfRule>
  </conditionalFormatting>
  <conditionalFormatting sqref="AS56">
    <cfRule type="cellIs" dxfId="179" priority="15" operator="equal">
      <formula>"x"</formula>
    </cfRule>
  </conditionalFormatting>
  <conditionalFormatting sqref="AM56">
    <cfRule type="cellIs" dxfId="178" priority="14" operator="equal">
      <formula>"x"</formula>
    </cfRule>
  </conditionalFormatting>
  <conditionalFormatting sqref="AM56">
    <cfRule type="cellIs" dxfId="177" priority="13" operator="equal">
      <formula>"x"</formula>
    </cfRule>
  </conditionalFormatting>
  <conditionalFormatting sqref="D56">
    <cfRule type="containsText" dxfId="176" priority="12" stopIfTrue="1" operator="containsText" text="Fixed">
      <formula>NOT(ISERROR(SEARCH("Fixed",D56)))</formula>
    </cfRule>
  </conditionalFormatting>
  <conditionalFormatting sqref="BB42:BC42">
    <cfRule type="cellIs" dxfId="175" priority="11" operator="equal">
      <formula>"x"</formula>
    </cfRule>
  </conditionalFormatting>
  <conditionalFormatting sqref="AX42:AY42">
    <cfRule type="cellIs" dxfId="174" priority="10" operator="equal">
      <formula>"x"</formula>
    </cfRule>
  </conditionalFormatting>
  <conditionalFormatting sqref="AX42:AY42">
    <cfRule type="cellIs" dxfId="173" priority="9" operator="equal">
      <formula>"x"</formula>
    </cfRule>
  </conditionalFormatting>
  <conditionalFormatting sqref="W42">
    <cfRule type="cellIs" dxfId="172" priority="7" operator="equal">
      <formula>"x"</formula>
    </cfRule>
  </conditionalFormatting>
  <conditionalFormatting sqref="AJ42">
    <cfRule type="cellIs" dxfId="171" priority="6" operator="equal">
      <formula>"x"</formula>
    </cfRule>
  </conditionalFormatting>
  <conditionalFormatting sqref="D42">
    <cfRule type="containsText" dxfId="170" priority="5" stopIfTrue="1" operator="containsText" text="Fixed">
      <formula>NOT(ISERROR(SEARCH("Fixed",D42)))</formula>
    </cfRule>
  </conditionalFormatting>
  <conditionalFormatting sqref="O4:AY4 BB4:BC4">
    <cfRule type="cellIs" dxfId="169" priority="4" operator="equal">
      <formula>"x"</formula>
    </cfRule>
  </conditionalFormatting>
  <conditionalFormatting sqref="D4">
    <cfRule type="containsText" dxfId="168" priority="3" stopIfTrue="1" operator="containsText" text="Fixed">
      <formula>NOT(ISERROR(SEARCH("Fixed",D4)))</formula>
    </cfRule>
  </conditionalFormatting>
  <conditionalFormatting sqref="O6:AY6 BB6:BC6">
    <cfRule type="cellIs" dxfId="167" priority="2" operator="equal">
      <formula>"x"</formula>
    </cfRule>
  </conditionalFormatting>
  <conditionalFormatting sqref="D6">
    <cfRule type="containsText" dxfId="166" priority="1" stopIfTrue="1" operator="containsText" text="Fixed">
      <formula>NOT(ISERROR(SEARCH("Fixed",D6)))</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V70"/>
  <sheetViews>
    <sheetView zoomScale="106" zoomScaleNormal="106" workbookViewId="0">
      <pane xSplit="5" ySplit="6" topLeftCell="AO52" activePane="bottomRight" state="frozen"/>
      <selection pane="topRight" activeCell="F1" sqref="F1"/>
      <selection pane="bottomLeft" activeCell="A8" sqref="A8"/>
      <selection pane="bottomRight" activeCell="AG69" sqref="AG69"/>
    </sheetView>
  </sheetViews>
  <sheetFormatPr defaultColWidth="0" defaultRowHeight="12.75"/>
  <cols>
    <col min="1" max="1" width="2.625" style="278" customWidth="1"/>
    <col min="2" max="2" width="4.625" style="278" customWidth="1"/>
    <col min="3" max="3" width="31.625" style="278" bestFit="1" customWidth="1"/>
    <col min="4" max="4" width="9.875" style="278" hidden="1" customWidth="1"/>
    <col min="5" max="5" width="6.125" style="278" customWidth="1"/>
    <col min="6" max="6" width="6.25" style="292" customWidth="1"/>
    <col min="7" max="7" width="8.125" style="264" customWidth="1"/>
    <col min="8" max="8" width="30.75" style="278" customWidth="1"/>
    <col min="9" max="9" width="8.625" style="292" customWidth="1"/>
    <col min="10" max="11" width="7" style="292" customWidth="1"/>
    <col min="12" max="12" width="8.375" style="292" bestFit="1" customWidth="1"/>
    <col min="13" max="14" width="7" style="292" customWidth="1"/>
    <col min="15" max="16" width="7" style="292" hidden="1" customWidth="1"/>
    <col min="17" max="17" width="14.25" style="292" hidden="1" customWidth="1"/>
    <col min="18" max="28" width="7" style="292" hidden="1" customWidth="1"/>
    <col min="29" max="62" width="7" style="292" customWidth="1"/>
    <col min="63" max="63" width="7" style="278" customWidth="1"/>
    <col min="64" max="65" width="7" style="278" hidden="1" customWidth="1"/>
    <col min="66" max="67" width="7" style="251" hidden="1" customWidth="1"/>
    <col min="68" max="68" width="7.875" style="251" bestFit="1" customWidth="1"/>
    <col min="69" max="69" width="7" style="251" customWidth="1"/>
    <col min="70" max="16384" width="0" style="251" hidden="1"/>
  </cols>
  <sheetData>
    <row r="1" spans="1:256" s="248" customFormat="1" ht="15" customHeight="1">
      <c r="A1" s="246" t="s">
        <v>94</v>
      </c>
      <c r="B1" s="240"/>
      <c r="C1" s="240"/>
      <c r="D1" s="240"/>
      <c r="E1" s="240"/>
      <c r="F1" s="307"/>
      <c r="G1" s="247"/>
      <c r="H1" s="240"/>
      <c r="I1" s="265"/>
      <c r="J1" s="319" t="s">
        <v>353</v>
      </c>
      <c r="K1" s="320"/>
      <c r="L1" s="324" t="s">
        <v>355</v>
      </c>
      <c r="M1" s="325">
        <f>SUM(M2:M4)</f>
        <v>41</v>
      </c>
      <c r="N1" s="326">
        <f>I2/(SUM(M2:M4))</f>
        <v>243902.43902439025</v>
      </c>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40"/>
      <c r="BL1" s="240"/>
      <c r="BM1" s="240"/>
    </row>
    <row r="2" spans="1:256" s="248" customFormat="1" ht="15" customHeight="1">
      <c r="A2" s="249" t="s">
        <v>95</v>
      </c>
      <c r="B2" s="240"/>
      <c r="C2" s="240"/>
      <c r="D2" s="240"/>
      <c r="E2" s="240"/>
      <c r="F2" s="307"/>
      <c r="G2" s="247"/>
      <c r="H2" s="316" t="s">
        <v>350</v>
      </c>
      <c r="I2" s="317">
        <v>10000000</v>
      </c>
      <c r="J2" s="322" t="s">
        <v>46</v>
      </c>
      <c r="K2" s="323">
        <v>0.3</v>
      </c>
      <c r="L2" s="321">
        <f>$I$2*K2</f>
        <v>3000000</v>
      </c>
      <c r="M2" s="318">
        <f>L2/N2</f>
        <v>15</v>
      </c>
      <c r="N2" s="326">
        <v>200000</v>
      </c>
      <c r="O2" s="265"/>
      <c r="P2" s="265"/>
      <c r="Q2" s="265"/>
      <c r="R2" s="265"/>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c r="AU2" s="265"/>
      <c r="AV2" s="265"/>
      <c r="AW2" s="265"/>
      <c r="AX2" s="265"/>
      <c r="AY2" s="265"/>
      <c r="AZ2" s="265"/>
      <c r="BA2" s="265"/>
      <c r="BB2" s="265"/>
      <c r="BC2" s="265"/>
      <c r="BD2" s="265"/>
      <c r="BE2" s="265"/>
      <c r="BF2" s="265"/>
      <c r="BG2" s="265"/>
      <c r="BH2" s="265"/>
      <c r="BI2" s="265"/>
      <c r="BJ2" s="265"/>
      <c r="BK2" s="240"/>
      <c r="BL2" s="240"/>
      <c r="BM2" s="240"/>
    </row>
    <row r="3" spans="1:256" s="248" customFormat="1" ht="15" customHeight="1">
      <c r="A3" s="249" t="s">
        <v>455</v>
      </c>
      <c r="B3" s="240"/>
      <c r="C3" s="240"/>
      <c r="D3" s="240"/>
      <c r="E3" s="240"/>
      <c r="F3" s="307"/>
      <c r="G3" s="247"/>
      <c r="H3" s="316" t="s">
        <v>349</v>
      </c>
      <c r="I3" s="317">
        <f>BQ66</f>
        <v>70.250000000000014</v>
      </c>
      <c r="J3" s="322" t="s">
        <v>47</v>
      </c>
      <c r="K3" s="323">
        <v>0.4</v>
      </c>
      <c r="L3" s="321">
        <f>$I$2*K3</f>
        <v>4000000</v>
      </c>
      <c r="M3" s="318">
        <f>L3/N3</f>
        <v>16</v>
      </c>
      <c r="N3" s="326">
        <v>250000</v>
      </c>
      <c r="O3" s="265"/>
      <c r="P3" s="265"/>
      <c r="Q3" s="265"/>
      <c r="R3" s="265"/>
      <c r="S3" s="265"/>
      <c r="T3" s="265"/>
      <c r="U3" s="265"/>
      <c r="V3" s="265"/>
      <c r="W3" s="265"/>
      <c r="X3" s="265"/>
      <c r="Y3" s="265"/>
      <c r="Z3" s="265"/>
      <c r="AA3" s="265"/>
      <c r="AB3" s="265"/>
      <c r="AC3" s="265"/>
      <c r="AD3" s="265"/>
      <c r="AE3" s="265"/>
      <c r="AF3" s="265"/>
      <c r="AG3" s="265"/>
      <c r="AH3" s="265"/>
      <c r="AI3" s="265"/>
      <c r="AJ3" s="265"/>
      <c r="AK3" s="265"/>
      <c r="AL3" s="265"/>
      <c r="AM3" s="265"/>
      <c r="AN3" s="265"/>
      <c r="AO3" s="265"/>
      <c r="AP3" s="265"/>
      <c r="AQ3" s="265"/>
      <c r="AR3" s="346"/>
      <c r="AS3" s="346"/>
      <c r="AT3" s="346"/>
      <c r="AU3" s="346"/>
      <c r="AV3" s="346"/>
      <c r="AW3" s="346"/>
      <c r="AX3" s="346"/>
      <c r="AY3" s="346"/>
      <c r="AZ3" s="346"/>
      <c r="BA3" s="346"/>
      <c r="BB3" s="346"/>
      <c r="BC3" s="346"/>
      <c r="BD3" s="346"/>
      <c r="BE3" s="346"/>
      <c r="BF3" s="346"/>
      <c r="BG3" s="346"/>
      <c r="BH3" s="346"/>
      <c r="BI3" s="346"/>
      <c r="BJ3" s="346"/>
      <c r="BK3" s="240"/>
      <c r="BL3" s="240"/>
      <c r="BM3" s="240"/>
    </row>
    <row r="4" spans="1:256" ht="15" customHeight="1">
      <c r="B4" s="277"/>
      <c r="C4" s="277"/>
      <c r="D4" s="277"/>
      <c r="E4" s="277"/>
      <c r="F4" s="279"/>
      <c r="G4" s="250"/>
      <c r="H4" s="316" t="s">
        <v>49</v>
      </c>
      <c r="I4" s="317">
        <f>I2/I3</f>
        <v>142348.75444839854</v>
      </c>
      <c r="J4" s="322" t="s">
        <v>354</v>
      </c>
      <c r="K4" s="323">
        <v>0.3</v>
      </c>
      <c r="L4" s="321">
        <f>$I$2*K4</f>
        <v>3000000</v>
      </c>
      <c r="M4" s="318">
        <f>L4/N4</f>
        <v>10</v>
      </c>
      <c r="N4" s="326">
        <v>300000</v>
      </c>
      <c r="O4" s="279"/>
      <c r="P4" s="279"/>
      <c r="Q4" s="266"/>
      <c r="R4" s="279"/>
      <c r="S4" s="279"/>
      <c r="T4" s="279"/>
      <c r="U4" s="279"/>
      <c r="V4" s="279"/>
      <c r="W4" s="279"/>
      <c r="X4" s="279"/>
      <c r="Y4" s="267">
        <v>1</v>
      </c>
      <c r="Z4" s="267">
        <v>2</v>
      </c>
      <c r="AA4" s="267">
        <v>3</v>
      </c>
      <c r="AB4" s="267">
        <v>4</v>
      </c>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7"/>
      <c r="BL4" s="277"/>
      <c r="BM4" s="277"/>
    </row>
    <row r="5" spans="1:256" s="257" customFormat="1" ht="15" customHeight="1">
      <c r="A5" s="280"/>
      <c r="B5" s="252" t="s">
        <v>96</v>
      </c>
      <c r="C5" s="252"/>
      <c r="D5" s="252"/>
      <c r="E5" s="253"/>
      <c r="F5" s="308"/>
      <c r="G5" s="254"/>
      <c r="H5" s="253"/>
      <c r="I5" s="268" t="s">
        <v>97</v>
      </c>
      <c r="J5" s="268"/>
      <c r="K5" s="268"/>
      <c r="L5" s="268"/>
      <c r="M5" s="268"/>
      <c r="N5" s="268"/>
      <c r="O5" s="269" t="s">
        <v>98</v>
      </c>
      <c r="P5" s="269"/>
      <c r="Q5" s="270" t="s">
        <v>99</v>
      </c>
      <c r="R5" s="271" t="s">
        <v>100</v>
      </c>
      <c r="S5" s="271"/>
      <c r="T5" s="271"/>
      <c r="U5" s="271"/>
      <c r="V5" s="271"/>
      <c r="W5" s="271"/>
      <c r="X5" s="272"/>
      <c r="Y5" s="273" t="s">
        <v>101</v>
      </c>
      <c r="Z5" s="273"/>
      <c r="AA5" s="273"/>
      <c r="AB5" s="274"/>
      <c r="AC5" s="275" t="s">
        <v>102</v>
      </c>
      <c r="AD5" s="275"/>
      <c r="AE5" s="275"/>
      <c r="AF5" s="275"/>
      <c r="AG5" s="275"/>
      <c r="AH5" s="275"/>
      <c r="AI5" s="275"/>
      <c r="AJ5" s="275"/>
      <c r="AK5" s="275"/>
      <c r="AL5" s="275"/>
      <c r="AM5" s="275"/>
      <c r="AN5" s="275"/>
      <c r="AO5" s="275"/>
      <c r="AP5" s="275"/>
      <c r="AQ5" s="275"/>
      <c r="AR5" s="275"/>
      <c r="AS5" s="275"/>
      <c r="AT5" s="275"/>
      <c r="AU5" s="275"/>
      <c r="AV5" s="275"/>
      <c r="AW5" s="275"/>
      <c r="AX5" s="275"/>
      <c r="AY5" s="275"/>
      <c r="AZ5" s="275"/>
      <c r="BA5" s="275"/>
      <c r="BB5" s="275"/>
      <c r="BC5" s="275"/>
      <c r="BD5" s="275"/>
      <c r="BE5" s="275"/>
      <c r="BF5" s="275"/>
      <c r="BG5" s="275"/>
      <c r="BH5" s="275"/>
      <c r="BI5" s="275"/>
      <c r="BJ5" s="275"/>
      <c r="BK5" s="255"/>
      <c r="BL5" s="255"/>
      <c r="BM5" s="256"/>
      <c r="BN5" s="256"/>
      <c r="BO5" s="256"/>
    </row>
    <row r="6" spans="1:256" s="183" customFormat="1" ht="25.5" customHeight="1">
      <c r="A6" s="281"/>
      <c r="B6" s="282" t="s">
        <v>103</v>
      </c>
      <c r="C6" s="282" t="s">
        <v>286</v>
      </c>
      <c r="D6" s="282" t="s">
        <v>104</v>
      </c>
      <c r="E6" s="282" t="s">
        <v>105</v>
      </c>
      <c r="F6" s="282" t="s">
        <v>0</v>
      </c>
      <c r="G6" s="181" t="s">
        <v>106</v>
      </c>
      <c r="H6" s="282" t="s">
        <v>93</v>
      </c>
      <c r="I6" s="283" t="s">
        <v>10</v>
      </c>
      <c r="J6" s="283" t="s">
        <v>282</v>
      </c>
      <c r="K6" s="283" t="s">
        <v>281</v>
      </c>
      <c r="L6" s="283" t="s">
        <v>107</v>
      </c>
      <c r="M6" s="283" t="s">
        <v>283</v>
      </c>
      <c r="N6" s="283" t="s">
        <v>284</v>
      </c>
      <c r="O6" s="284" t="s">
        <v>108</v>
      </c>
      <c r="P6" s="284" t="s">
        <v>109</v>
      </c>
      <c r="Q6" s="182" t="s">
        <v>110</v>
      </c>
      <c r="R6" s="285" t="s">
        <v>111</v>
      </c>
      <c r="S6" s="285" t="s">
        <v>112</v>
      </c>
      <c r="T6" s="285" t="s">
        <v>113</v>
      </c>
      <c r="U6" s="285" t="s">
        <v>114</v>
      </c>
      <c r="V6" s="285" t="s">
        <v>115</v>
      </c>
      <c r="W6" s="285" t="s">
        <v>116</v>
      </c>
      <c r="X6" s="285" t="s">
        <v>117</v>
      </c>
      <c r="Y6" s="286" t="s">
        <v>118</v>
      </c>
      <c r="Z6" s="286" t="s">
        <v>119</v>
      </c>
      <c r="AA6" s="286" t="s">
        <v>120</v>
      </c>
      <c r="AB6" s="286" t="s">
        <v>23</v>
      </c>
      <c r="AC6" s="287">
        <v>0.25</v>
      </c>
      <c r="AD6" s="287">
        <f t="shared" ref="AD6:BM6" si="0">AC6+1/48</f>
        <v>0.27083333333333331</v>
      </c>
      <c r="AE6" s="287">
        <f t="shared" si="0"/>
        <v>0.29166666666666663</v>
      </c>
      <c r="AF6" s="287">
        <f t="shared" si="0"/>
        <v>0.31249999999999994</v>
      </c>
      <c r="AG6" s="287">
        <f t="shared" si="0"/>
        <v>0.33333333333333326</v>
      </c>
      <c r="AH6" s="287">
        <f t="shared" si="0"/>
        <v>0.35416666666666657</v>
      </c>
      <c r="AI6" s="287">
        <f t="shared" si="0"/>
        <v>0.37499999999999989</v>
      </c>
      <c r="AJ6" s="287">
        <f t="shared" si="0"/>
        <v>0.3958333333333332</v>
      </c>
      <c r="AK6" s="287">
        <f t="shared" si="0"/>
        <v>0.41666666666666652</v>
      </c>
      <c r="AL6" s="287">
        <f t="shared" si="0"/>
        <v>0.43749999999999983</v>
      </c>
      <c r="AM6" s="287">
        <f t="shared" si="0"/>
        <v>0.45833333333333315</v>
      </c>
      <c r="AN6" s="287">
        <f t="shared" si="0"/>
        <v>0.47916666666666646</v>
      </c>
      <c r="AO6" s="287">
        <f t="shared" si="0"/>
        <v>0.49999999999999978</v>
      </c>
      <c r="AP6" s="287">
        <f t="shared" si="0"/>
        <v>0.52083333333333315</v>
      </c>
      <c r="AQ6" s="287">
        <f t="shared" si="0"/>
        <v>0.54166666666666652</v>
      </c>
      <c r="AR6" s="287">
        <f t="shared" si="0"/>
        <v>0.56249999999999989</v>
      </c>
      <c r="AS6" s="287">
        <f t="shared" si="0"/>
        <v>0.58333333333333326</v>
      </c>
      <c r="AT6" s="287">
        <f t="shared" si="0"/>
        <v>0.60416666666666663</v>
      </c>
      <c r="AU6" s="287">
        <f t="shared" si="0"/>
        <v>0.625</v>
      </c>
      <c r="AV6" s="287">
        <f t="shared" si="0"/>
        <v>0.64583333333333337</v>
      </c>
      <c r="AW6" s="287">
        <f t="shared" si="0"/>
        <v>0.66666666666666674</v>
      </c>
      <c r="AX6" s="287">
        <f t="shared" si="0"/>
        <v>0.68750000000000011</v>
      </c>
      <c r="AY6" s="287">
        <f t="shared" si="0"/>
        <v>0.70833333333333348</v>
      </c>
      <c r="AZ6" s="287">
        <f t="shared" si="0"/>
        <v>0.72916666666666685</v>
      </c>
      <c r="BA6" s="287">
        <f t="shared" si="0"/>
        <v>0.75000000000000022</v>
      </c>
      <c r="BB6" s="287">
        <f t="shared" si="0"/>
        <v>0.77083333333333359</v>
      </c>
      <c r="BC6" s="287">
        <f t="shared" si="0"/>
        <v>0.79166666666666696</v>
      </c>
      <c r="BD6" s="287">
        <f t="shared" si="0"/>
        <v>0.81250000000000033</v>
      </c>
      <c r="BE6" s="287">
        <f t="shared" si="0"/>
        <v>0.8333333333333337</v>
      </c>
      <c r="BF6" s="287">
        <f t="shared" si="0"/>
        <v>0.85416666666666707</v>
      </c>
      <c r="BG6" s="287">
        <f t="shared" si="0"/>
        <v>0.87500000000000044</v>
      </c>
      <c r="BH6" s="287">
        <f t="shared" si="0"/>
        <v>0.89583333333333381</v>
      </c>
      <c r="BI6" s="287">
        <f t="shared" si="0"/>
        <v>0.91666666666666718</v>
      </c>
      <c r="BJ6" s="287">
        <f t="shared" si="0"/>
        <v>0.93750000000000056</v>
      </c>
      <c r="BK6" s="287">
        <f t="shared" si="0"/>
        <v>0.95833333333333393</v>
      </c>
      <c r="BL6" s="287">
        <f t="shared" si="0"/>
        <v>0.9791666666666673</v>
      </c>
      <c r="BM6" s="287">
        <f t="shared" si="0"/>
        <v>1.0000000000000007</v>
      </c>
      <c r="BN6" s="287"/>
      <c r="BO6" s="287"/>
      <c r="BP6" s="282" t="s">
        <v>351</v>
      </c>
      <c r="BQ6" s="282" t="s">
        <v>352</v>
      </c>
      <c r="BR6" s="282" t="s">
        <v>351</v>
      </c>
      <c r="BS6" s="282" t="s">
        <v>351</v>
      </c>
      <c r="BT6" s="282" t="s">
        <v>351</v>
      </c>
      <c r="BU6" s="282" t="s">
        <v>351</v>
      </c>
      <c r="BV6" s="282" t="s">
        <v>351</v>
      </c>
      <c r="BW6" s="282" t="s">
        <v>351</v>
      </c>
      <c r="BX6" s="282" t="s">
        <v>351</v>
      </c>
      <c r="BY6" s="282" t="s">
        <v>351</v>
      </c>
      <c r="BZ6" s="282" t="s">
        <v>351</v>
      </c>
      <c r="CA6" s="282" t="s">
        <v>351</v>
      </c>
      <c r="CB6" s="282" t="s">
        <v>351</v>
      </c>
      <c r="CC6" s="282" t="s">
        <v>351</v>
      </c>
      <c r="CD6" s="282" t="s">
        <v>351</v>
      </c>
      <c r="CE6" s="282" t="s">
        <v>351</v>
      </c>
      <c r="CF6" s="282" t="s">
        <v>351</v>
      </c>
      <c r="CG6" s="282" t="s">
        <v>351</v>
      </c>
      <c r="CH6" s="282" t="s">
        <v>351</v>
      </c>
      <c r="CI6" s="282" t="s">
        <v>351</v>
      </c>
      <c r="CJ6" s="282" t="s">
        <v>351</v>
      </c>
      <c r="CK6" s="282" t="s">
        <v>351</v>
      </c>
      <c r="CL6" s="282" t="s">
        <v>351</v>
      </c>
      <c r="CM6" s="282" t="s">
        <v>351</v>
      </c>
      <c r="CN6" s="282" t="s">
        <v>351</v>
      </c>
      <c r="CO6" s="282" t="s">
        <v>351</v>
      </c>
      <c r="CP6" s="282" t="s">
        <v>351</v>
      </c>
      <c r="CQ6" s="282" t="s">
        <v>351</v>
      </c>
      <c r="CR6" s="282" t="s">
        <v>351</v>
      </c>
      <c r="CS6" s="282" t="s">
        <v>351</v>
      </c>
      <c r="CT6" s="282" t="s">
        <v>351</v>
      </c>
      <c r="CU6" s="282" t="s">
        <v>351</v>
      </c>
      <c r="CV6" s="282" t="s">
        <v>351</v>
      </c>
      <c r="CW6" s="282" t="s">
        <v>351</v>
      </c>
      <c r="CX6" s="282" t="s">
        <v>351</v>
      </c>
      <c r="CY6" s="282" t="s">
        <v>351</v>
      </c>
      <c r="CZ6" s="282" t="s">
        <v>351</v>
      </c>
      <c r="DA6" s="282" t="s">
        <v>351</v>
      </c>
      <c r="DB6" s="282" t="s">
        <v>351</v>
      </c>
      <c r="DC6" s="282" t="s">
        <v>351</v>
      </c>
      <c r="DD6" s="282" t="s">
        <v>351</v>
      </c>
      <c r="DE6" s="282" t="s">
        <v>351</v>
      </c>
      <c r="DF6" s="282" t="s">
        <v>351</v>
      </c>
      <c r="DG6" s="282" t="s">
        <v>351</v>
      </c>
      <c r="DH6" s="282" t="s">
        <v>351</v>
      </c>
      <c r="DI6" s="282" t="s">
        <v>351</v>
      </c>
      <c r="DJ6" s="282" t="s">
        <v>351</v>
      </c>
      <c r="DK6" s="282" t="s">
        <v>351</v>
      </c>
      <c r="DL6" s="282" t="s">
        <v>351</v>
      </c>
      <c r="DM6" s="282" t="s">
        <v>351</v>
      </c>
      <c r="DN6" s="282" t="s">
        <v>351</v>
      </c>
      <c r="DO6" s="282" t="s">
        <v>351</v>
      </c>
      <c r="DP6" s="282" t="s">
        <v>351</v>
      </c>
      <c r="DQ6" s="282" t="s">
        <v>351</v>
      </c>
      <c r="DR6" s="282" t="s">
        <v>351</v>
      </c>
      <c r="DS6" s="282" t="s">
        <v>351</v>
      </c>
      <c r="DT6" s="282" t="s">
        <v>351</v>
      </c>
      <c r="DU6" s="282" t="s">
        <v>351</v>
      </c>
      <c r="DV6" s="282" t="s">
        <v>351</v>
      </c>
      <c r="DW6" s="282" t="s">
        <v>351</v>
      </c>
      <c r="DX6" s="282" t="s">
        <v>351</v>
      </c>
      <c r="DY6" s="282" t="s">
        <v>351</v>
      </c>
      <c r="DZ6" s="282" t="s">
        <v>351</v>
      </c>
      <c r="EA6" s="282" t="s">
        <v>351</v>
      </c>
      <c r="EB6" s="282" t="s">
        <v>351</v>
      </c>
      <c r="EC6" s="282" t="s">
        <v>351</v>
      </c>
      <c r="ED6" s="282" t="s">
        <v>351</v>
      </c>
      <c r="EE6" s="282" t="s">
        <v>351</v>
      </c>
      <c r="EF6" s="282" t="s">
        <v>351</v>
      </c>
      <c r="EG6" s="282" t="s">
        <v>351</v>
      </c>
      <c r="EH6" s="282" t="s">
        <v>351</v>
      </c>
      <c r="EI6" s="282" t="s">
        <v>351</v>
      </c>
      <c r="EJ6" s="282" t="s">
        <v>351</v>
      </c>
      <c r="EK6" s="282" t="s">
        <v>351</v>
      </c>
      <c r="EL6" s="282" t="s">
        <v>351</v>
      </c>
      <c r="EM6" s="282" t="s">
        <v>351</v>
      </c>
      <c r="EN6" s="282" t="s">
        <v>351</v>
      </c>
      <c r="EO6" s="282" t="s">
        <v>351</v>
      </c>
      <c r="EP6" s="282" t="s">
        <v>351</v>
      </c>
      <c r="EQ6" s="282" t="s">
        <v>351</v>
      </c>
      <c r="ER6" s="282" t="s">
        <v>351</v>
      </c>
      <c r="ES6" s="282" t="s">
        <v>351</v>
      </c>
      <c r="ET6" s="282" t="s">
        <v>351</v>
      </c>
      <c r="EU6" s="282" t="s">
        <v>351</v>
      </c>
      <c r="EV6" s="282" t="s">
        <v>351</v>
      </c>
      <c r="EW6" s="282" t="s">
        <v>351</v>
      </c>
      <c r="EX6" s="282" t="s">
        <v>351</v>
      </c>
      <c r="EY6" s="282" t="s">
        <v>351</v>
      </c>
      <c r="EZ6" s="282" t="s">
        <v>351</v>
      </c>
      <c r="FA6" s="282" t="s">
        <v>351</v>
      </c>
      <c r="FB6" s="282" t="s">
        <v>351</v>
      </c>
      <c r="FC6" s="282" t="s">
        <v>351</v>
      </c>
      <c r="FD6" s="282" t="s">
        <v>351</v>
      </c>
      <c r="FE6" s="282" t="s">
        <v>351</v>
      </c>
      <c r="FF6" s="282" t="s">
        <v>351</v>
      </c>
      <c r="FG6" s="282" t="s">
        <v>351</v>
      </c>
      <c r="FH6" s="282" t="s">
        <v>351</v>
      </c>
      <c r="FI6" s="282" t="s">
        <v>351</v>
      </c>
      <c r="FJ6" s="282" t="s">
        <v>351</v>
      </c>
      <c r="FK6" s="282" t="s">
        <v>351</v>
      </c>
      <c r="FL6" s="282" t="s">
        <v>351</v>
      </c>
      <c r="FM6" s="282" t="s">
        <v>351</v>
      </c>
      <c r="FN6" s="282" t="s">
        <v>351</v>
      </c>
      <c r="FO6" s="282" t="s">
        <v>351</v>
      </c>
      <c r="FP6" s="282" t="s">
        <v>351</v>
      </c>
      <c r="FQ6" s="282" t="s">
        <v>351</v>
      </c>
      <c r="FR6" s="282" t="s">
        <v>351</v>
      </c>
      <c r="FS6" s="282" t="s">
        <v>351</v>
      </c>
      <c r="FT6" s="282" t="s">
        <v>351</v>
      </c>
      <c r="FU6" s="282" t="s">
        <v>351</v>
      </c>
      <c r="FV6" s="282" t="s">
        <v>351</v>
      </c>
      <c r="FW6" s="282" t="s">
        <v>351</v>
      </c>
      <c r="FX6" s="282" t="s">
        <v>351</v>
      </c>
      <c r="FY6" s="282" t="s">
        <v>351</v>
      </c>
      <c r="FZ6" s="282" t="s">
        <v>351</v>
      </c>
      <c r="GA6" s="282" t="s">
        <v>351</v>
      </c>
      <c r="GB6" s="282" t="s">
        <v>351</v>
      </c>
      <c r="GC6" s="282" t="s">
        <v>351</v>
      </c>
      <c r="GD6" s="282" t="s">
        <v>351</v>
      </c>
      <c r="GE6" s="282" t="s">
        <v>351</v>
      </c>
      <c r="GF6" s="282" t="s">
        <v>351</v>
      </c>
      <c r="GG6" s="282" t="s">
        <v>351</v>
      </c>
      <c r="GH6" s="282" t="s">
        <v>351</v>
      </c>
      <c r="GI6" s="282" t="s">
        <v>351</v>
      </c>
      <c r="GJ6" s="282" t="s">
        <v>351</v>
      </c>
      <c r="GK6" s="282" t="s">
        <v>351</v>
      </c>
      <c r="GL6" s="282" t="s">
        <v>351</v>
      </c>
      <c r="GM6" s="282" t="s">
        <v>351</v>
      </c>
      <c r="GN6" s="282" t="s">
        <v>351</v>
      </c>
      <c r="GO6" s="282" t="s">
        <v>351</v>
      </c>
      <c r="GP6" s="282" t="s">
        <v>351</v>
      </c>
      <c r="GQ6" s="282" t="s">
        <v>351</v>
      </c>
      <c r="GR6" s="282" t="s">
        <v>351</v>
      </c>
      <c r="GS6" s="282" t="s">
        <v>351</v>
      </c>
      <c r="GT6" s="282" t="s">
        <v>351</v>
      </c>
      <c r="GU6" s="282" t="s">
        <v>351</v>
      </c>
      <c r="GV6" s="282" t="s">
        <v>351</v>
      </c>
      <c r="GW6" s="282" t="s">
        <v>351</v>
      </c>
      <c r="GX6" s="282" t="s">
        <v>351</v>
      </c>
      <c r="GY6" s="282" t="s">
        <v>351</v>
      </c>
      <c r="GZ6" s="282" t="s">
        <v>351</v>
      </c>
      <c r="HA6" s="282" t="s">
        <v>351</v>
      </c>
      <c r="HB6" s="282" t="s">
        <v>351</v>
      </c>
      <c r="HC6" s="282" t="s">
        <v>351</v>
      </c>
      <c r="HD6" s="282" t="s">
        <v>351</v>
      </c>
      <c r="HE6" s="282" t="s">
        <v>351</v>
      </c>
      <c r="HF6" s="282" t="s">
        <v>351</v>
      </c>
      <c r="HG6" s="282" t="s">
        <v>351</v>
      </c>
      <c r="HH6" s="282" t="s">
        <v>351</v>
      </c>
      <c r="HI6" s="282" t="s">
        <v>351</v>
      </c>
      <c r="HJ6" s="282" t="s">
        <v>351</v>
      </c>
      <c r="HK6" s="282" t="s">
        <v>351</v>
      </c>
      <c r="HL6" s="282" t="s">
        <v>351</v>
      </c>
      <c r="HM6" s="282" t="s">
        <v>351</v>
      </c>
      <c r="HN6" s="282" t="s">
        <v>351</v>
      </c>
      <c r="HO6" s="282" t="s">
        <v>351</v>
      </c>
      <c r="HP6" s="282" t="s">
        <v>351</v>
      </c>
      <c r="HQ6" s="282" t="s">
        <v>351</v>
      </c>
      <c r="HR6" s="282" t="s">
        <v>351</v>
      </c>
      <c r="HS6" s="282" t="s">
        <v>351</v>
      </c>
      <c r="HT6" s="282" t="s">
        <v>351</v>
      </c>
      <c r="HU6" s="282" t="s">
        <v>351</v>
      </c>
      <c r="HV6" s="282" t="s">
        <v>351</v>
      </c>
      <c r="HW6" s="282" t="s">
        <v>351</v>
      </c>
      <c r="HX6" s="282" t="s">
        <v>351</v>
      </c>
      <c r="HY6" s="282" t="s">
        <v>351</v>
      </c>
      <c r="HZ6" s="282" t="s">
        <v>351</v>
      </c>
      <c r="IA6" s="282" t="s">
        <v>351</v>
      </c>
      <c r="IB6" s="282" t="s">
        <v>351</v>
      </c>
      <c r="IC6" s="282" t="s">
        <v>351</v>
      </c>
      <c r="ID6" s="282" t="s">
        <v>351</v>
      </c>
      <c r="IE6" s="282" t="s">
        <v>351</v>
      </c>
      <c r="IF6" s="282" t="s">
        <v>351</v>
      </c>
      <c r="IG6" s="282" t="s">
        <v>351</v>
      </c>
      <c r="IH6" s="282" t="s">
        <v>351</v>
      </c>
      <c r="II6" s="282" t="s">
        <v>351</v>
      </c>
      <c r="IJ6" s="282" t="s">
        <v>351</v>
      </c>
      <c r="IK6" s="282" t="s">
        <v>351</v>
      </c>
      <c r="IL6" s="282" t="s">
        <v>351</v>
      </c>
      <c r="IM6" s="282" t="s">
        <v>351</v>
      </c>
      <c r="IN6" s="282" t="s">
        <v>351</v>
      </c>
      <c r="IO6" s="282" t="s">
        <v>351</v>
      </c>
      <c r="IP6" s="282" t="s">
        <v>351</v>
      </c>
      <c r="IQ6" s="282" t="s">
        <v>351</v>
      </c>
      <c r="IR6" s="282" t="s">
        <v>351</v>
      </c>
      <c r="IS6" s="282" t="s">
        <v>351</v>
      </c>
      <c r="IT6" s="282" t="s">
        <v>351</v>
      </c>
      <c r="IU6" s="282" t="s">
        <v>351</v>
      </c>
      <c r="IV6" s="282" t="s">
        <v>351</v>
      </c>
    </row>
    <row r="7" spans="1:256" ht="22.5">
      <c r="A7" s="295">
        <v>1</v>
      </c>
      <c r="B7" s="295" t="s">
        <v>348</v>
      </c>
      <c r="C7" s="296" t="s">
        <v>280</v>
      </c>
      <c r="D7" s="297" t="s">
        <v>121</v>
      </c>
      <c r="E7" s="295" t="s">
        <v>122</v>
      </c>
      <c r="F7" s="309" t="s">
        <v>129</v>
      </c>
      <c r="G7" s="299" t="s">
        <v>28</v>
      </c>
      <c r="H7" s="313" t="s">
        <v>330</v>
      </c>
      <c r="I7" s="241"/>
      <c r="J7" s="241" t="s">
        <v>123</v>
      </c>
      <c r="K7" s="241"/>
      <c r="L7" s="241"/>
      <c r="M7" s="241"/>
      <c r="N7" s="241" t="s">
        <v>123</v>
      </c>
      <c r="O7" s="258" t="s">
        <v>123</v>
      </c>
      <c r="P7" s="258" t="s">
        <v>123</v>
      </c>
      <c r="Q7" s="258" t="s">
        <v>124</v>
      </c>
      <c r="R7" s="258" t="s">
        <v>123</v>
      </c>
      <c r="S7" s="258" t="s">
        <v>123</v>
      </c>
      <c r="T7" s="258" t="s">
        <v>123</v>
      </c>
      <c r="U7" s="258" t="s">
        <v>123</v>
      </c>
      <c r="V7" s="258" t="s">
        <v>123</v>
      </c>
      <c r="W7" s="258" t="s">
        <v>123</v>
      </c>
      <c r="X7" s="258" t="s">
        <v>123</v>
      </c>
      <c r="Y7" s="258" t="s">
        <v>123</v>
      </c>
      <c r="Z7" s="258" t="s">
        <v>123</v>
      </c>
      <c r="AA7" s="258" t="s">
        <v>123</v>
      </c>
      <c r="AB7" s="258" t="s">
        <v>123</v>
      </c>
      <c r="AC7" s="258"/>
      <c r="AD7" s="258"/>
      <c r="AE7" s="258"/>
      <c r="AF7" s="258"/>
      <c r="AG7" s="258">
        <v>5</v>
      </c>
      <c r="AH7" s="258"/>
      <c r="AI7" s="258"/>
      <c r="AJ7" s="258"/>
      <c r="AK7" s="258"/>
      <c r="AL7" s="258"/>
      <c r="AM7" s="258"/>
      <c r="AN7" s="258"/>
      <c r="AO7" s="258"/>
      <c r="AP7" s="258"/>
      <c r="AQ7" s="258"/>
      <c r="AR7" s="258"/>
      <c r="AS7" s="258"/>
      <c r="AT7" s="258"/>
      <c r="AU7" s="258"/>
      <c r="AV7" s="258"/>
      <c r="AW7" s="258"/>
      <c r="AX7" s="258"/>
      <c r="AY7" s="258"/>
      <c r="AZ7" s="258"/>
      <c r="BA7" s="258"/>
      <c r="BB7" s="258"/>
      <c r="BC7" s="258"/>
      <c r="BD7" s="258"/>
      <c r="BE7" s="258"/>
      <c r="BF7" s="258"/>
      <c r="BG7" s="258"/>
      <c r="BH7" s="258"/>
      <c r="BI7" s="258"/>
      <c r="BJ7" s="258"/>
      <c r="BK7" s="295"/>
      <c r="BL7" s="298"/>
      <c r="BM7" s="298"/>
      <c r="BN7" s="289"/>
      <c r="BO7" s="238"/>
      <c r="BP7" s="290">
        <f>SUM(AC7:BO7)</f>
        <v>5</v>
      </c>
      <c r="BQ7" s="290">
        <f>BP7/60</f>
        <v>8.3333333333333329E-2</v>
      </c>
    </row>
    <row r="8" spans="1:256" ht="22.5">
      <c r="A8" s="259">
        <v>2</v>
      </c>
      <c r="B8" s="259" t="s">
        <v>348</v>
      </c>
      <c r="C8" s="300" t="s">
        <v>302</v>
      </c>
      <c r="D8" s="276" t="s">
        <v>121</v>
      </c>
      <c r="E8" s="259" t="s">
        <v>122</v>
      </c>
      <c r="F8" s="310" t="s">
        <v>129</v>
      </c>
      <c r="G8" s="301" t="s">
        <v>28</v>
      </c>
      <c r="H8" s="312" t="s">
        <v>303</v>
      </c>
      <c r="I8" s="242"/>
      <c r="J8" s="242" t="s">
        <v>123</v>
      </c>
      <c r="K8" s="242"/>
      <c r="L8" s="242"/>
      <c r="M8" s="242"/>
      <c r="N8" s="242"/>
      <c r="O8" s="260" t="s">
        <v>123</v>
      </c>
      <c r="P8" s="260" t="s">
        <v>123</v>
      </c>
      <c r="Q8" s="260" t="s">
        <v>124</v>
      </c>
      <c r="R8" s="260" t="s">
        <v>123</v>
      </c>
      <c r="S8" s="260" t="s">
        <v>123</v>
      </c>
      <c r="T8" s="260" t="s">
        <v>123</v>
      </c>
      <c r="U8" s="260" t="s">
        <v>123</v>
      </c>
      <c r="V8" s="260" t="s">
        <v>123</v>
      </c>
      <c r="W8" s="260" t="s">
        <v>123</v>
      </c>
      <c r="X8" s="260" t="s">
        <v>123</v>
      </c>
      <c r="Y8" s="260" t="s">
        <v>123</v>
      </c>
      <c r="Z8" s="260" t="s">
        <v>123</v>
      </c>
      <c r="AA8" s="260" t="s">
        <v>123</v>
      </c>
      <c r="AB8" s="260" t="s">
        <v>123</v>
      </c>
      <c r="AC8" s="260"/>
      <c r="AD8" s="260"/>
      <c r="AE8" s="260"/>
      <c r="AF8" s="260"/>
      <c r="AG8" s="260">
        <v>10</v>
      </c>
      <c r="AH8" s="260"/>
      <c r="AI8" s="260"/>
      <c r="AJ8" s="260"/>
      <c r="AK8" s="260"/>
      <c r="AL8" s="260"/>
      <c r="AM8" s="260"/>
      <c r="AN8" s="260"/>
      <c r="AO8" s="260"/>
      <c r="AP8" s="260"/>
      <c r="AQ8" s="260"/>
      <c r="AR8" s="260"/>
      <c r="AS8" s="260"/>
      <c r="AT8" s="260"/>
      <c r="AU8" s="260"/>
      <c r="AV8" s="260">
        <v>15</v>
      </c>
      <c r="AW8" s="260"/>
      <c r="AX8" s="260"/>
      <c r="AY8" s="260"/>
      <c r="AZ8" s="260"/>
      <c r="BA8" s="260"/>
      <c r="BB8" s="260"/>
      <c r="BC8" s="260"/>
      <c r="BD8" s="260"/>
      <c r="BE8" s="260"/>
      <c r="BF8" s="260"/>
      <c r="BG8" s="260"/>
      <c r="BH8" s="260"/>
      <c r="BI8" s="260"/>
      <c r="BJ8" s="260">
        <v>10</v>
      </c>
      <c r="BK8" s="259"/>
      <c r="BL8" s="288"/>
      <c r="BM8" s="288"/>
      <c r="BN8" s="289"/>
      <c r="BO8" s="239"/>
      <c r="BP8" s="290">
        <f t="shared" ref="BP8:BP64" si="1">SUM(AC8:BO8)</f>
        <v>35</v>
      </c>
      <c r="BQ8" s="290">
        <f t="shared" ref="BQ8:BQ64" si="2">BP8/60</f>
        <v>0.58333333333333337</v>
      </c>
    </row>
    <row r="9" spans="1:256">
      <c r="A9" s="259">
        <v>3</v>
      </c>
      <c r="B9" s="259" t="s">
        <v>8</v>
      </c>
      <c r="C9" s="300" t="s">
        <v>331</v>
      </c>
      <c r="D9" s="276" t="s">
        <v>125</v>
      </c>
      <c r="E9" s="259" t="s">
        <v>122</v>
      </c>
      <c r="F9" s="310" t="s">
        <v>129</v>
      </c>
      <c r="G9" s="301" t="s">
        <v>28</v>
      </c>
      <c r="H9" s="312"/>
      <c r="I9" s="242"/>
      <c r="J9" s="242" t="s">
        <v>123</v>
      </c>
      <c r="K9" s="242" t="s">
        <v>123</v>
      </c>
      <c r="L9" s="242"/>
      <c r="M9" s="242"/>
      <c r="N9" s="242" t="s">
        <v>123</v>
      </c>
      <c r="O9" s="260" t="s">
        <v>123</v>
      </c>
      <c r="P9" s="260" t="s">
        <v>123</v>
      </c>
      <c r="Q9" s="260" t="s">
        <v>124</v>
      </c>
      <c r="R9" s="260" t="s">
        <v>123</v>
      </c>
      <c r="S9" s="260" t="s">
        <v>123</v>
      </c>
      <c r="T9" s="260" t="s">
        <v>123</v>
      </c>
      <c r="U9" s="260" t="s">
        <v>123</v>
      </c>
      <c r="V9" s="260" t="s">
        <v>123</v>
      </c>
      <c r="W9" s="260" t="s">
        <v>123</v>
      </c>
      <c r="X9" s="260" t="s">
        <v>123</v>
      </c>
      <c r="Y9" s="260" t="s">
        <v>123</v>
      </c>
      <c r="Z9" s="260" t="s">
        <v>123</v>
      </c>
      <c r="AA9" s="260" t="s">
        <v>123</v>
      </c>
      <c r="AB9" s="260" t="s">
        <v>123</v>
      </c>
      <c r="AC9" s="260"/>
      <c r="AD9" s="260"/>
      <c r="AE9" s="260"/>
      <c r="AF9" s="260"/>
      <c r="AG9" s="260">
        <v>15</v>
      </c>
      <c r="AH9" s="260"/>
      <c r="AI9" s="260"/>
      <c r="AJ9" s="260"/>
      <c r="AK9" s="260"/>
      <c r="AL9" s="260"/>
      <c r="AM9" s="260"/>
      <c r="AN9" s="260"/>
      <c r="AO9" s="260"/>
      <c r="AP9" s="260"/>
      <c r="AQ9" s="260"/>
      <c r="AR9" s="260"/>
      <c r="AS9" s="260"/>
      <c r="AT9" s="260"/>
      <c r="AU9" s="260"/>
      <c r="AV9" s="260"/>
      <c r="AW9" s="260"/>
      <c r="AX9" s="260"/>
      <c r="AY9" s="260"/>
      <c r="AZ9" s="260"/>
      <c r="BA9" s="260"/>
      <c r="BB9" s="260"/>
      <c r="BC9" s="260"/>
      <c r="BD9" s="260"/>
      <c r="BE9" s="260"/>
      <c r="BF9" s="260"/>
      <c r="BG9" s="260"/>
      <c r="BH9" s="260"/>
      <c r="BI9" s="260"/>
      <c r="BJ9" s="260"/>
      <c r="BK9" s="259"/>
      <c r="BL9" s="288"/>
      <c r="BM9" s="288"/>
      <c r="BN9" s="289"/>
      <c r="BO9" s="239"/>
      <c r="BP9" s="290">
        <f t="shared" si="1"/>
        <v>15</v>
      </c>
      <c r="BQ9" s="290">
        <f t="shared" si="2"/>
        <v>0.25</v>
      </c>
    </row>
    <row r="10" spans="1:256" ht="78.75">
      <c r="A10" s="259">
        <v>4</v>
      </c>
      <c r="B10" s="259" t="s">
        <v>8</v>
      </c>
      <c r="C10" s="300" t="s">
        <v>293</v>
      </c>
      <c r="D10" s="276" t="s">
        <v>121</v>
      </c>
      <c r="E10" s="259" t="s">
        <v>122</v>
      </c>
      <c r="F10" s="310" t="s">
        <v>129</v>
      </c>
      <c r="G10" s="301" t="s">
        <v>159</v>
      </c>
      <c r="H10" s="312" t="s">
        <v>339</v>
      </c>
      <c r="I10" s="242"/>
      <c r="J10" s="242" t="s">
        <v>123</v>
      </c>
      <c r="K10" s="242"/>
      <c r="L10" s="242"/>
      <c r="M10" s="242"/>
      <c r="N10" s="242" t="s">
        <v>123</v>
      </c>
      <c r="O10" s="260" t="s">
        <v>123</v>
      </c>
      <c r="P10" s="260" t="s">
        <v>123</v>
      </c>
      <c r="Q10" s="260" t="s">
        <v>124</v>
      </c>
      <c r="R10" s="260" t="s">
        <v>123</v>
      </c>
      <c r="S10" s="260" t="s">
        <v>123</v>
      </c>
      <c r="T10" s="260" t="s">
        <v>123</v>
      </c>
      <c r="U10" s="260" t="s">
        <v>123</v>
      </c>
      <c r="V10" s="260" t="s">
        <v>123</v>
      </c>
      <c r="W10" s="260" t="s">
        <v>123</v>
      </c>
      <c r="X10" s="260" t="s">
        <v>123</v>
      </c>
      <c r="Y10" s="260" t="s">
        <v>123</v>
      </c>
      <c r="Z10" s="260" t="s">
        <v>123</v>
      </c>
      <c r="AA10" s="260" t="s">
        <v>123</v>
      </c>
      <c r="AB10" s="260" t="s">
        <v>123</v>
      </c>
      <c r="AC10" s="260"/>
      <c r="AD10" s="260"/>
      <c r="AE10" s="260"/>
      <c r="AF10" s="260"/>
      <c r="AG10" s="260">
        <v>30</v>
      </c>
      <c r="AH10" s="260">
        <v>50</v>
      </c>
      <c r="AI10" s="260">
        <v>10</v>
      </c>
      <c r="AJ10" s="260">
        <v>5</v>
      </c>
      <c r="AK10" s="260">
        <v>5</v>
      </c>
      <c r="AL10" s="260"/>
      <c r="AM10" s="260"/>
      <c r="AN10" s="260"/>
      <c r="AO10" s="260"/>
      <c r="AP10" s="260"/>
      <c r="AQ10" s="260"/>
      <c r="AR10" s="260"/>
      <c r="AS10" s="260"/>
      <c r="AT10" s="260"/>
      <c r="AU10" s="260"/>
      <c r="AV10" s="260">
        <v>50</v>
      </c>
      <c r="AW10" s="260"/>
      <c r="AX10" s="260"/>
      <c r="AY10" s="260"/>
      <c r="AZ10" s="260"/>
      <c r="BA10" s="260"/>
      <c r="BB10" s="260"/>
      <c r="BC10" s="260"/>
      <c r="BD10" s="260"/>
      <c r="BE10" s="260"/>
      <c r="BF10" s="260"/>
      <c r="BG10" s="260"/>
      <c r="BH10" s="260"/>
      <c r="BI10" s="260"/>
      <c r="BJ10" s="260"/>
      <c r="BK10" s="259"/>
      <c r="BL10" s="288"/>
      <c r="BM10" s="288"/>
      <c r="BN10" s="289"/>
      <c r="BO10" s="239"/>
      <c r="BP10" s="290">
        <f t="shared" si="1"/>
        <v>150</v>
      </c>
      <c r="BQ10" s="290">
        <f t="shared" si="2"/>
        <v>2.5</v>
      </c>
    </row>
    <row r="11" spans="1:256" ht="22.5">
      <c r="A11" s="259">
        <v>5</v>
      </c>
      <c r="B11" s="259" t="s">
        <v>8</v>
      </c>
      <c r="C11" s="300" t="s">
        <v>287</v>
      </c>
      <c r="D11" s="276"/>
      <c r="E11" s="259"/>
      <c r="F11" s="310" t="s">
        <v>129</v>
      </c>
      <c r="G11" s="301"/>
      <c r="H11" s="312" t="s">
        <v>289</v>
      </c>
      <c r="I11" s="242"/>
      <c r="J11" s="242" t="s">
        <v>123</v>
      </c>
      <c r="K11" s="242" t="s">
        <v>123</v>
      </c>
      <c r="L11" s="242"/>
      <c r="M11" s="242"/>
      <c r="N11" s="242" t="s">
        <v>123</v>
      </c>
      <c r="O11" s="260"/>
      <c r="P11" s="260"/>
      <c r="Q11" s="260"/>
      <c r="R11" s="260"/>
      <c r="S11" s="260"/>
      <c r="T11" s="260"/>
      <c r="U11" s="260"/>
      <c r="V11" s="260"/>
      <c r="W11" s="260"/>
      <c r="X11" s="260"/>
      <c r="Y11" s="260"/>
      <c r="Z11" s="260"/>
      <c r="AA11" s="260"/>
      <c r="AB11" s="260"/>
      <c r="AC11" s="260"/>
      <c r="AD11" s="260"/>
      <c r="AE11" s="260"/>
      <c r="AF11" s="260"/>
      <c r="AG11" s="260"/>
      <c r="AH11" s="260"/>
      <c r="AI11" s="260">
        <v>30</v>
      </c>
      <c r="AJ11" s="260">
        <v>45</v>
      </c>
      <c r="AK11" s="260"/>
      <c r="AL11" s="260"/>
      <c r="AM11" s="260"/>
      <c r="AN11" s="260"/>
      <c r="AO11" s="260"/>
      <c r="AP11" s="260"/>
      <c r="AQ11" s="260"/>
      <c r="AR11" s="260"/>
      <c r="AS11" s="260"/>
      <c r="AT11" s="260"/>
      <c r="AU11" s="260"/>
      <c r="AV11" s="260"/>
      <c r="AW11" s="260"/>
      <c r="AX11" s="260"/>
      <c r="AY11" s="260">
        <v>20</v>
      </c>
      <c r="AZ11" s="260">
        <v>15</v>
      </c>
      <c r="BA11" s="260"/>
      <c r="BB11" s="260"/>
      <c r="BC11" s="260"/>
      <c r="BD11" s="260"/>
      <c r="BE11" s="260"/>
      <c r="BF11" s="260"/>
      <c r="BG11" s="260"/>
      <c r="BH11" s="260"/>
      <c r="BI11" s="260"/>
      <c r="BJ11" s="260"/>
      <c r="BK11" s="259"/>
      <c r="BL11" s="288"/>
      <c r="BM11" s="288"/>
      <c r="BN11" s="289"/>
      <c r="BO11" s="239"/>
      <c r="BP11" s="290">
        <f t="shared" si="1"/>
        <v>110</v>
      </c>
      <c r="BQ11" s="290">
        <f t="shared" si="2"/>
        <v>1.8333333333333333</v>
      </c>
    </row>
    <row r="12" spans="1:256" ht="56.25">
      <c r="A12" s="259">
        <v>6</v>
      </c>
      <c r="B12" s="259" t="s">
        <v>8</v>
      </c>
      <c r="C12" s="300" t="s">
        <v>127</v>
      </c>
      <c r="D12" s="276" t="s">
        <v>125</v>
      </c>
      <c r="E12" s="259" t="s">
        <v>122</v>
      </c>
      <c r="F12" s="310" t="s">
        <v>292</v>
      </c>
      <c r="G12" s="301" t="s">
        <v>159</v>
      </c>
      <c r="H12" s="312" t="s">
        <v>240</v>
      </c>
      <c r="I12" s="242"/>
      <c r="J12" s="242" t="s">
        <v>123</v>
      </c>
      <c r="K12" s="242" t="s">
        <v>123</v>
      </c>
      <c r="L12" s="242"/>
      <c r="M12" s="242"/>
      <c r="N12" s="242" t="s">
        <v>123</v>
      </c>
      <c r="O12" s="260" t="s">
        <v>123</v>
      </c>
      <c r="P12" s="260" t="s">
        <v>123</v>
      </c>
      <c r="Q12" s="260" t="s">
        <v>124</v>
      </c>
      <c r="R12" s="260" t="s">
        <v>123</v>
      </c>
      <c r="S12" s="260" t="s">
        <v>123</v>
      </c>
      <c r="T12" s="260" t="s">
        <v>123</v>
      </c>
      <c r="U12" s="260" t="s">
        <v>123</v>
      </c>
      <c r="V12" s="260" t="s">
        <v>123</v>
      </c>
      <c r="W12" s="260" t="s">
        <v>123</v>
      </c>
      <c r="X12" s="260" t="s">
        <v>123</v>
      </c>
      <c r="Y12" s="260" t="s">
        <v>123</v>
      </c>
      <c r="Z12" s="260" t="s">
        <v>123</v>
      </c>
      <c r="AA12" s="260" t="s">
        <v>123</v>
      </c>
      <c r="AB12" s="260" t="s">
        <v>123</v>
      </c>
      <c r="AC12" s="260"/>
      <c r="AD12" s="260"/>
      <c r="AE12" s="260"/>
      <c r="AF12" s="260"/>
      <c r="AG12" s="260"/>
      <c r="AH12" s="260"/>
      <c r="AI12" s="260">
        <v>15</v>
      </c>
      <c r="AJ12" s="260">
        <v>10</v>
      </c>
      <c r="AK12" s="260"/>
      <c r="AL12" s="260">
        <v>10</v>
      </c>
      <c r="AM12" s="260"/>
      <c r="AN12" s="260"/>
      <c r="AO12" s="260"/>
      <c r="AP12" s="260"/>
      <c r="AQ12" s="260"/>
      <c r="AR12" s="260"/>
      <c r="AS12" s="260"/>
      <c r="AT12" s="260">
        <v>30</v>
      </c>
      <c r="AU12" s="260">
        <v>10</v>
      </c>
      <c r="AV12" s="260"/>
      <c r="AW12" s="260">
        <v>10</v>
      </c>
      <c r="AX12" s="260">
        <v>20</v>
      </c>
      <c r="AY12" s="260"/>
      <c r="AZ12" s="260"/>
      <c r="BA12" s="260"/>
      <c r="BB12" s="260"/>
      <c r="BC12" s="260"/>
      <c r="BD12" s="260"/>
      <c r="BE12" s="260"/>
      <c r="BF12" s="260"/>
      <c r="BG12" s="260"/>
      <c r="BH12" s="260"/>
      <c r="BI12" s="260"/>
      <c r="BJ12" s="260"/>
      <c r="BK12" s="259"/>
      <c r="BL12" s="288"/>
      <c r="BM12" s="288"/>
      <c r="BN12" s="289"/>
      <c r="BO12" s="239"/>
      <c r="BP12" s="290">
        <f t="shared" si="1"/>
        <v>105</v>
      </c>
      <c r="BQ12" s="290">
        <f t="shared" si="2"/>
        <v>1.75</v>
      </c>
    </row>
    <row r="13" spans="1:256" ht="25.5">
      <c r="A13" s="259">
        <v>7</v>
      </c>
      <c r="B13" s="338" t="s">
        <v>8</v>
      </c>
      <c r="C13" s="339" t="s">
        <v>291</v>
      </c>
      <c r="D13" s="340" t="s">
        <v>125</v>
      </c>
      <c r="E13" s="338" t="s">
        <v>122</v>
      </c>
      <c r="F13" s="341" t="s">
        <v>292</v>
      </c>
      <c r="G13" s="342" t="s">
        <v>159</v>
      </c>
      <c r="H13" s="343"/>
      <c r="I13" s="242"/>
      <c r="J13" s="242" t="s">
        <v>123</v>
      </c>
      <c r="K13" s="242" t="s">
        <v>123</v>
      </c>
      <c r="L13" s="242"/>
      <c r="M13" s="242"/>
      <c r="N13" s="242"/>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v>30</v>
      </c>
      <c r="AV13" s="260"/>
      <c r="AW13" s="260"/>
      <c r="AX13" s="260"/>
      <c r="AY13" s="260"/>
      <c r="AZ13" s="260"/>
      <c r="BA13" s="260"/>
      <c r="BB13" s="260"/>
      <c r="BC13" s="260"/>
      <c r="BD13" s="260"/>
      <c r="BE13" s="260"/>
      <c r="BF13" s="260"/>
      <c r="BG13" s="260"/>
      <c r="BH13" s="260"/>
      <c r="BI13" s="260"/>
      <c r="BJ13" s="260"/>
      <c r="BK13" s="259"/>
      <c r="BL13" s="288"/>
      <c r="BM13" s="288"/>
      <c r="BN13" s="289"/>
      <c r="BO13" s="239"/>
      <c r="BP13" s="290">
        <f t="shared" si="1"/>
        <v>30</v>
      </c>
      <c r="BQ13" s="290">
        <f t="shared" si="2"/>
        <v>0.5</v>
      </c>
    </row>
    <row r="14" spans="1:256" ht="25.5">
      <c r="A14" s="259">
        <v>8</v>
      </c>
      <c r="B14" s="338" t="s">
        <v>8</v>
      </c>
      <c r="C14" s="339" t="s">
        <v>296</v>
      </c>
      <c r="D14" s="340" t="s">
        <v>125</v>
      </c>
      <c r="E14" s="338" t="s">
        <v>122</v>
      </c>
      <c r="F14" s="341" t="s">
        <v>292</v>
      </c>
      <c r="G14" s="342" t="s">
        <v>159</v>
      </c>
      <c r="H14" s="343"/>
      <c r="I14" s="242"/>
      <c r="J14" s="242" t="s">
        <v>123</v>
      </c>
      <c r="K14" s="242" t="s">
        <v>123</v>
      </c>
      <c r="L14" s="242"/>
      <c r="M14" s="242"/>
      <c r="N14" s="242"/>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c r="AO14" s="260"/>
      <c r="AP14" s="260"/>
      <c r="AQ14" s="260"/>
      <c r="AR14" s="260"/>
      <c r="AS14" s="260"/>
      <c r="AT14" s="260"/>
      <c r="AU14" s="260"/>
      <c r="AV14" s="260"/>
      <c r="AW14" s="260">
        <v>20</v>
      </c>
      <c r="AX14" s="260"/>
      <c r="AY14" s="260"/>
      <c r="AZ14" s="260"/>
      <c r="BA14" s="260"/>
      <c r="BB14" s="260"/>
      <c r="BC14" s="260"/>
      <c r="BD14" s="260"/>
      <c r="BE14" s="260"/>
      <c r="BF14" s="260"/>
      <c r="BG14" s="260"/>
      <c r="BH14" s="260"/>
      <c r="BI14" s="260"/>
      <c r="BJ14" s="260"/>
      <c r="BK14" s="259"/>
      <c r="BL14" s="288"/>
      <c r="BM14" s="288"/>
      <c r="BN14" s="289"/>
      <c r="BO14" s="239"/>
      <c r="BP14" s="290">
        <f t="shared" si="1"/>
        <v>20</v>
      </c>
      <c r="BQ14" s="290">
        <f t="shared" si="2"/>
        <v>0.33333333333333331</v>
      </c>
    </row>
    <row r="15" spans="1:256" ht="25.5">
      <c r="A15" s="259">
        <v>9</v>
      </c>
      <c r="B15" s="338" t="s">
        <v>8</v>
      </c>
      <c r="C15" s="339" t="s">
        <v>297</v>
      </c>
      <c r="D15" s="340" t="s">
        <v>125</v>
      </c>
      <c r="E15" s="338" t="s">
        <v>122</v>
      </c>
      <c r="F15" s="341" t="s">
        <v>292</v>
      </c>
      <c r="G15" s="342" t="s">
        <v>159</v>
      </c>
      <c r="H15" s="343"/>
      <c r="I15" s="242"/>
      <c r="J15" s="242" t="s">
        <v>123</v>
      </c>
      <c r="K15" s="242" t="s">
        <v>123</v>
      </c>
      <c r="L15" s="242"/>
      <c r="M15" s="242"/>
      <c r="N15" s="242"/>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v>10</v>
      </c>
      <c r="AV15" s="260"/>
      <c r="AW15" s="260"/>
      <c r="AX15" s="260"/>
      <c r="AY15" s="260"/>
      <c r="AZ15" s="260"/>
      <c r="BA15" s="260"/>
      <c r="BB15" s="260"/>
      <c r="BC15" s="260"/>
      <c r="BD15" s="260"/>
      <c r="BE15" s="260"/>
      <c r="BF15" s="260"/>
      <c r="BG15" s="260"/>
      <c r="BH15" s="260"/>
      <c r="BI15" s="260"/>
      <c r="BJ15" s="260"/>
      <c r="BK15" s="259"/>
      <c r="BL15" s="288"/>
      <c r="BM15" s="288"/>
      <c r="BN15" s="289"/>
      <c r="BO15" s="239"/>
      <c r="BP15" s="290">
        <f t="shared" si="1"/>
        <v>10</v>
      </c>
      <c r="BQ15" s="290">
        <f t="shared" si="2"/>
        <v>0.16666666666666666</v>
      </c>
    </row>
    <row r="16" spans="1:256">
      <c r="A16" s="259">
        <v>10</v>
      </c>
      <c r="B16" s="338" t="s">
        <v>8</v>
      </c>
      <c r="C16" s="339" t="s">
        <v>298</v>
      </c>
      <c r="D16" s="340" t="s">
        <v>304</v>
      </c>
      <c r="E16" s="338" t="s">
        <v>122</v>
      </c>
      <c r="F16" s="341" t="s">
        <v>292</v>
      </c>
      <c r="G16" s="342"/>
      <c r="H16" s="343"/>
      <c r="I16" s="242"/>
      <c r="J16" s="242" t="s">
        <v>123</v>
      </c>
      <c r="K16" s="242"/>
      <c r="L16" s="242"/>
      <c r="M16" s="242"/>
      <c r="N16" s="242"/>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v>5</v>
      </c>
      <c r="AV16" s="260"/>
      <c r="AW16" s="260"/>
      <c r="AX16" s="260"/>
      <c r="AY16" s="260"/>
      <c r="AZ16" s="260"/>
      <c r="BA16" s="260"/>
      <c r="BB16" s="260"/>
      <c r="BC16" s="260"/>
      <c r="BD16" s="260"/>
      <c r="BE16" s="260"/>
      <c r="BF16" s="260"/>
      <c r="BG16" s="260"/>
      <c r="BH16" s="260"/>
      <c r="BI16" s="260"/>
      <c r="BJ16" s="260"/>
      <c r="BK16" s="259"/>
      <c r="BL16" s="288"/>
      <c r="BM16" s="288"/>
      <c r="BN16" s="289"/>
      <c r="BO16" s="239"/>
      <c r="BP16" s="290">
        <f t="shared" si="1"/>
        <v>5</v>
      </c>
      <c r="BQ16" s="290">
        <f t="shared" si="2"/>
        <v>8.3333333333333329E-2</v>
      </c>
    </row>
    <row r="17" spans="1:69" ht="33.75">
      <c r="A17" s="259">
        <v>11</v>
      </c>
      <c r="B17" s="338" t="s">
        <v>8</v>
      </c>
      <c r="C17" s="339" t="s">
        <v>294</v>
      </c>
      <c r="D17" s="340" t="s">
        <v>121</v>
      </c>
      <c r="E17" s="338" t="s">
        <v>323</v>
      </c>
      <c r="F17" s="341" t="s">
        <v>292</v>
      </c>
      <c r="G17" s="342" t="s">
        <v>30</v>
      </c>
      <c r="H17" s="343" t="s">
        <v>324</v>
      </c>
      <c r="I17" s="242"/>
      <c r="J17" s="242"/>
      <c r="K17" s="242" t="s">
        <v>123</v>
      </c>
      <c r="L17" s="242"/>
      <c r="M17" s="242"/>
      <c r="N17" s="242"/>
      <c r="O17" s="260" t="s">
        <v>123</v>
      </c>
      <c r="P17" s="260" t="s">
        <v>123</v>
      </c>
      <c r="Q17" s="260" t="s">
        <v>124</v>
      </c>
      <c r="R17" s="260" t="s">
        <v>123</v>
      </c>
      <c r="S17" s="260" t="s">
        <v>123</v>
      </c>
      <c r="T17" s="260" t="s">
        <v>123</v>
      </c>
      <c r="U17" s="260" t="s">
        <v>123</v>
      </c>
      <c r="V17" s="260" t="s">
        <v>123</v>
      </c>
      <c r="W17" s="260" t="s">
        <v>123</v>
      </c>
      <c r="X17" s="260" t="s">
        <v>123</v>
      </c>
      <c r="Y17" s="260" t="s">
        <v>123</v>
      </c>
      <c r="Z17" s="260" t="s">
        <v>123</v>
      </c>
      <c r="AA17" s="260" t="s">
        <v>123</v>
      </c>
      <c r="AB17" s="260" t="s">
        <v>123</v>
      </c>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v>20</v>
      </c>
      <c r="AY17" s="260"/>
      <c r="AZ17" s="260"/>
      <c r="BA17" s="260"/>
      <c r="BB17" s="260"/>
      <c r="BC17" s="260"/>
      <c r="BD17" s="260"/>
      <c r="BE17" s="260"/>
      <c r="BF17" s="260"/>
      <c r="BG17" s="260"/>
      <c r="BH17" s="260"/>
      <c r="BI17" s="260"/>
      <c r="BJ17" s="260"/>
      <c r="BK17" s="259"/>
      <c r="BL17" s="288"/>
      <c r="BM17" s="288"/>
      <c r="BN17" s="289"/>
      <c r="BO17" s="239"/>
      <c r="BP17" s="290">
        <f t="shared" si="1"/>
        <v>20</v>
      </c>
      <c r="BQ17" s="290">
        <f t="shared" si="2"/>
        <v>0.33333333333333331</v>
      </c>
    </row>
    <row r="18" spans="1:69" ht="33.75">
      <c r="A18" s="259">
        <v>12</v>
      </c>
      <c r="B18" s="338" t="s">
        <v>8</v>
      </c>
      <c r="C18" s="339" t="s">
        <v>295</v>
      </c>
      <c r="D18" s="340" t="s">
        <v>121</v>
      </c>
      <c r="E18" s="338" t="s">
        <v>323</v>
      </c>
      <c r="F18" s="341" t="s">
        <v>292</v>
      </c>
      <c r="G18" s="342" t="s">
        <v>30</v>
      </c>
      <c r="H18" s="343" t="s">
        <v>325</v>
      </c>
      <c r="I18" s="242"/>
      <c r="J18" s="242"/>
      <c r="K18" s="242" t="s">
        <v>123</v>
      </c>
      <c r="L18" s="242"/>
      <c r="M18" s="242"/>
      <c r="N18" s="242"/>
      <c r="O18" s="260" t="s">
        <v>123</v>
      </c>
      <c r="P18" s="260" t="s">
        <v>123</v>
      </c>
      <c r="Q18" s="260" t="s">
        <v>124</v>
      </c>
      <c r="R18" s="260" t="s">
        <v>123</v>
      </c>
      <c r="S18" s="260" t="s">
        <v>123</v>
      </c>
      <c r="T18" s="260" t="s">
        <v>123</v>
      </c>
      <c r="U18" s="260" t="s">
        <v>123</v>
      </c>
      <c r="V18" s="260" t="s">
        <v>123</v>
      </c>
      <c r="W18" s="260" t="s">
        <v>123</v>
      </c>
      <c r="X18" s="260" t="s">
        <v>123</v>
      </c>
      <c r="Y18" s="260" t="s">
        <v>123</v>
      </c>
      <c r="Z18" s="260" t="s">
        <v>123</v>
      </c>
      <c r="AA18" s="260" t="s">
        <v>123</v>
      </c>
      <c r="AB18" s="260" t="s">
        <v>123</v>
      </c>
      <c r="AC18" s="260"/>
      <c r="AD18" s="260"/>
      <c r="AE18" s="260"/>
      <c r="AF18" s="260"/>
      <c r="AG18" s="260"/>
      <c r="AH18" s="260"/>
      <c r="AI18" s="260"/>
      <c r="AJ18" s="260"/>
      <c r="AK18" s="260"/>
      <c r="AL18" s="260"/>
      <c r="AM18" s="260"/>
      <c r="AN18" s="260"/>
      <c r="AO18" s="260"/>
      <c r="AP18" s="260"/>
      <c r="AQ18" s="260"/>
      <c r="AR18" s="260"/>
      <c r="AS18" s="260"/>
      <c r="AT18" s="260"/>
      <c r="AU18" s="260"/>
      <c r="AV18" s="260"/>
      <c r="AW18" s="260">
        <v>30</v>
      </c>
      <c r="AX18" s="260"/>
      <c r="AY18" s="260"/>
      <c r="AZ18" s="260"/>
      <c r="BA18" s="260"/>
      <c r="BB18" s="260"/>
      <c r="BC18" s="260"/>
      <c r="BD18" s="260"/>
      <c r="BE18" s="260"/>
      <c r="BF18" s="260"/>
      <c r="BG18" s="260"/>
      <c r="BH18" s="260"/>
      <c r="BI18" s="260"/>
      <c r="BJ18" s="260"/>
      <c r="BK18" s="259"/>
      <c r="BL18" s="288"/>
      <c r="BM18" s="288"/>
      <c r="BN18" s="289"/>
      <c r="BO18" s="239"/>
      <c r="BP18" s="290">
        <f t="shared" si="1"/>
        <v>30</v>
      </c>
      <c r="BQ18" s="290">
        <f t="shared" si="2"/>
        <v>0.5</v>
      </c>
    </row>
    <row r="19" spans="1:69" ht="25.5">
      <c r="A19" s="259">
        <v>13</v>
      </c>
      <c r="B19" s="259" t="s">
        <v>8</v>
      </c>
      <c r="C19" s="300" t="s">
        <v>299</v>
      </c>
      <c r="D19" s="276" t="s">
        <v>125</v>
      </c>
      <c r="E19" s="259" t="s">
        <v>122</v>
      </c>
      <c r="F19" s="310" t="s">
        <v>292</v>
      </c>
      <c r="G19" s="301" t="s">
        <v>346</v>
      </c>
      <c r="H19" s="312" t="s">
        <v>345</v>
      </c>
      <c r="I19" s="242"/>
      <c r="J19" s="242"/>
      <c r="K19" s="242" t="s">
        <v>123</v>
      </c>
      <c r="L19" s="242"/>
      <c r="M19" s="242"/>
      <c r="N19" s="242"/>
      <c r="O19" s="260" t="s">
        <v>123</v>
      </c>
      <c r="P19" s="260" t="s">
        <v>123</v>
      </c>
      <c r="Q19" s="260" t="s">
        <v>124</v>
      </c>
      <c r="R19" s="260" t="s">
        <v>123</v>
      </c>
      <c r="S19" s="260" t="s">
        <v>123</v>
      </c>
      <c r="T19" s="260" t="s">
        <v>123</v>
      </c>
      <c r="U19" s="260" t="s">
        <v>123</v>
      </c>
      <c r="V19" s="260" t="s">
        <v>123</v>
      </c>
      <c r="W19" s="260" t="s">
        <v>123</v>
      </c>
      <c r="X19" s="260" t="s">
        <v>123</v>
      </c>
      <c r="Y19" s="260" t="s">
        <v>123</v>
      </c>
      <c r="Z19" s="260" t="s">
        <v>123</v>
      </c>
      <c r="AA19" s="260" t="s">
        <v>123</v>
      </c>
      <c r="AB19" s="260" t="s">
        <v>123</v>
      </c>
      <c r="AC19" s="260"/>
      <c r="AD19" s="260"/>
      <c r="AE19" s="260"/>
      <c r="AF19" s="260"/>
      <c r="AG19" s="260"/>
      <c r="AH19" s="260"/>
      <c r="AI19" s="260"/>
      <c r="AJ19" s="260"/>
      <c r="AK19" s="260">
        <v>30</v>
      </c>
      <c r="AL19" s="260">
        <v>10</v>
      </c>
      <c r="AM19" s="260"/>
      <c r="AN19" s="260"/>
      <c r="AO19" s="260"/>
      <c r="AP19" s="260"/>
      <c r="AQ19" s="260"/>
      <c r="AR19" s="260"/>
      <c r="AS19" s="260"/>
      <c r="AT19" s="260"/>
      <c r="AU19" s="260"/>
      <c r="AV19" s="260"/>
      <c r="AW19" s="260"/>
      <c r="AX19" s="260"/>
      <c r="AY19" s="260">
        <v>15</v>
      </c>
      <c r="AZ19" s="260">
        <v>15</v>
      </c>
      <c r="BA19" s="260"/>
      <c r="BB19" s="260"/>
      <c r="BC19" s="260"/>
      <c r="BD19" s="260"/>
      <c r="BE19" s="260"/>
      <c r="BF19" s="260"/>
      <c r="BG19" s="260"/>
      <c r="BH19" s="260"/>
      <c r="BI19" s="260"/>
      <c r="BJ19" s="260"/>
      <c r="BK19" s="259"/>
      <c r="BL19" s="288"/>
      <c r="BM19" s="288"/>
      <c r="BN19" s="289"/>
      <c r="BO19" s="239"/>
      <c r="BP19" s="290">
        <f t="shared" si="1"/>
        <v>70</v>
      </c>
      <c r="BQ19" s="290">
        <f t="shared" si="2"/>
        <v>1.1666666666666667</v>
      </c>
    </row>
    <row r="20" spans="1:69" ht="22.5">
      <c r="A20" s="259">
        <v>14</v>
      </c>
      <c r="B20" s="259" t="s">
        <v>347</v>
      </c>
      <c r="C20" s="300" t="s">
        <v>285</v>
      </c>
      <c r="D20" s="276" t="s">
        <v>304</v>
      </c>
      <c r="E20" s="259" t="s">
        <v>122</v>
      </c>
      <c r="F20" s="310" t="s">
        <v>292</v>
      </c>
      <c r="G20" s="301" t="s">
        <v>305</v>
      </c>
      <c r="H20" s="312" t="s">
        <v>306</v>
      </c>
      <c r="I20" s="242"/>
      <c r="J20" s="242" t="s">
        <v>138</v>
      </c>
      <c r="K20" s="242"/>
      <c r="L20" s="242"/>
      <c r="M20" s="242"/>
      <c r="N20" s="242" t="s">
        <v>138</v>
      </c>
      <c r="O20" s="260"/>
      <c r="P20" s="260"/>
      <c r="Q20" s="260"/>
      <c r="R20" s="260"/>
      <c r="S20" s="260"/>
      <c r="T20" s="260"/>
      <c r="U20" s="260"/>
      <c r="V20" s="260"/>
      <c r="W20" s="260"/>
      <c r="X20" s="260"/>
      <c r="Y20" s="260"/>
      <c r="Z20" s="260"/>
      <c r="AA20" s="260"/>
      <c r="AB20" s="260"/>
      <c r="AC20" s="260"/>
      <c r="AD20" s="260"/>
      <c r="AE20" s="260"/>
      <c r="AF20" s="260"/>
      <c r="AG20" s="260"/>
      <c r="AH20" s="260"/>
      <c r="AI20" s="260"/>
      <c r="AJ20" s="260">
        <v>15</v>
      </c>
      <c r="AK20" s="260">
        <v>5</v>
      </c>
      <c r="AL20" s="260"/>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0"/>
      <c r="BK20" s="259"/>
      <c r="BL20" s="288"/>
      <c r="BM20" s="288"/>
      <c r="BN20" s="289"/>
      <c r="BO20" s="239"/>
      <c r="BP20" s="290">
        <f t="shared" si="1"/>
        <v>20</v>
      </c>
      <c r="BQ20" s="290">
        <f t="shared" si="2"/>
        <v>0.33333333333333331</v>
      </c>
    </row>
    <row r="21" spans="1:69" ht="22.5">
      <c r="A21" s="259">
        <v>15</v>
      </c>
      <c r="B21" s="259" t="s">
        <v>348</v>
      </c>
      <c r="C21" s="300" t="s">
        <v>156</v>
      </c>
      <c r="D21" s="276" t="s">
        <v>121</v>
      </c>
      <c r="E21" s="259" t="s">
        <v>122</v>
      </c>
      <c r="F21" s="310" t="s">
        <v>292</v>
      </c>
      <c r="G21" s="301" t="s">
        <v>28</v>
      </c>
      <c r="H21" s="312" t="s">
        <v>238</v>
      </c>
      <c r="I21" s="242"/>
      <c r="J21" s="242" t="s">
        <v>123</v>
      </c>
      <c r="K21" s="242"/>
      <c r="L21" s="242" t="s">
        <v>138</v>
      </c>
      <c r="M21" s="242"/>
      <c r="N21" s="242"/>
      <c r="O21" s="260" t="s">
        <v>123</v>
      </c>
      <c r="P21" s="260" t="s">
        <v>123</v>
      </c>
      <c r="Q21" s="260" t="s">
        <v>124</v>
      </c>
      <c r="R21" s="260" t="s">
        <v>123</v>
      </c>
      <c r="S21" s="260" t="s">
        <v>123</v>
      </c>
      <c r="T21" s="260" t="s">
        <v>123</v>
      </c>
      <c r="U21" s="260" t="s">
        <v>123</v>
      </c>
      <c r="V21" s="260" t="s">
        <v>123</v>
      </c>
      <c r="W21" s="260" t="s">
        <v>123</v>
      </c>
      <c r="X21" s="260" t="s">
        <v>123</v>
      </c>
      <c r="Y21" s="260" t="s">
        <v>123</v>
      </c>
      <c r="Z21" s="260" t="s">
        <v>123</v>
      </c>
      <c r="AA21" s="260" t="s">
        <v>123</v>
      </c>
      <c r="AB21" s="260" t="s">
        <v>123</v>
      </c>
      <c r="AC21" s="260"/>
      <c r="AD21" s="260"/>
      <c r="AE21" s="260"/>
      <c r="AF21" s="260"/>
      <c r="AG21" s="260"/>
      <c r="AH21" s="260"/>
      <c r="AI21" s="260">
        <v>30</v>
      </c>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59"/>
      <c r="BL21" s="288"/>
      <c r="BM21" s="288"/>
      <c r="BN21" s="289"/>
      <c r="BO21" s="239"/>
      <c r="BP21" s="290">
        <f t="shared" si="1"/>
        <v>30</v>
      </c>
      <c r="BQ21" s="290">
        <f t="shared" si="2"/>
        <v>0.5</v>
      </c>
    </row>
    <row r="22" spans="1:69">
      <c r="A22" s="259">
        <v>16</v>
      </c>
      <c r="B22" s="259" t="s">
        <v>348</v>
      </c>
      <c r="C22" s="300" t="s">
        <v>290</v>
      </c>
      <c r="D22" s="276" t="s">
        <v>121</v>
      </c>
      <c r="E22" s="259" t="s">
        <v>122</v>
      </c>
      <c r="F22" s="310" t="s">
        <v>292</v>
      </c>
      <c r="G22" s="301" t="s">
        <v>28</v>
      </c>
      <c r="H22" s="312" t="s">
        <v>239</v>
      </c>
      <c r="I22" s="242"/>
      <c r="J22" s="242" t="s">
        <v>123</v>
      </c>
      <c r="K22" s="242"/>
      <c r="L22" s="242"/>
      <c r="M22" s="242"/>
      <c r="N22" s="242"/>
      <c r="O22" s="260" t="s">
        <v>123</v>
      </c>
      <c r="P22" s="260" t="s">
        <v>123</v>
      </c>
      <c r="Q22" s="260" t="s">
        <v>124</v>
      </c>
      <c r="R22" s="260" t="s">
        <v>123</v>
      </c>
      <c r="S22" s="260" t="s">
        <v>123</v>
      </c>
      <c r="T22" s="260" t="s">
        <v>123</v>
      </c>
      <c r="U22" s="260" t="s">
        <v>123</v>
      </c>
      <c r="V22" s="260" t="s">
        <v>123</v>
      </c>
      <c r="W22" s="260" t="s">
        <v>123</v>
      </c>
      <c r="X22" s="260" t="s">
        <v>123</v>
      </c>
      <c r="Y22" s="260" t="s">
        <v>123</v>
      </c>
      <c r="Z22" s="260" t="s">
        <v>123</v>
      </c>
      <c r="AA22" s="260" t="s">
        <v>123</v>
      </c>
      <c r="AB22" s="260" t="s">
        <v>123</v>
      </c>
      <c r="AC22" s="260"/>
      <c r="AD22" s="260"/>
      <c r="AE22" s="260"/>
      <c r="AF22" s="260"/>
      <c r="AG22" s="260"/>
      <c r="AH22" s="260"/>
      <c r="AI22" s="260"/>
      <c r="AJ22" s="260">
        <v>5</v>
      </c>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59"/>
      <c r="BL22" s="288"/>
      <c r="BM22" s="288"/>
      <c r="BN22" s="289"/>
      <c r="BO22" s="239"/>
      <c r="BP22" s="290">
        <f t="shared" si="1"/>
        <v>5</v>
      </c>
      <c r="BQ22" s="290">
        <f t="shared" si="2"/>
        <v>8.3333333333333329E-2</v>
      </c>
    </row>
    <row r="23" spans="1:69" ht="25.5">
      <c r="A23" s="259">
        <v>17</v>
      </c>
      <c r="B23" s="259" t="s">
        <v>348</v>
      </c>
      <c r="C23" s="300" t="s">
        <v>158</v>
      </c>
      <c r="D23" s="276" t="s">
        <v>121</v>
      </c>
      <c r="E23" s="259" t="s">
        <v>122</v>
      </c>
      <c r="F23" s="310" t="s">
        <v>292</v>
      </c>
      <c r="G23" s="301" t="s">
        <v>159</v>
      </c>
      <c r="H23" s="312" t="s">
        <v>307</v>
      </c>
      <c r="I23" s="242"/>
      <c r="J23" s="242" t="s">
        <v>123</v>
      </c>
      <c r="K23" s="242" t="s">
        <v>123</v>
      </c>
      <c r="L23" s="242"/>
      <c r="M23" s="242"/>
      <c r="N23" s="242"/>
      <c r="O23" s="260" t="s">
        <v>123</v>
      </c>
      <c r="P23" s="260" t="s">
        <v>123</v>
      </c>
      <c r="Q23" s="260" t="s">
        <v>124</v>
      </c>
      <c r="R23" s="260" t="s">
        <v>123</v>
      </c>
      <c r="S23" s="260" t="s">
        <v>123</v>
      </c>
      <c r="T23" s="260" t="s">
        <v>123</v>
      </c>
      <c r="U23" s="260" t="s">
        <v>123</v>
      </c>
      <c r="V23" s="260" t="s">
        <v>123</v>
      </c>
      <c r="W23" s="260" t="s">
        <v>123</v>
      </c>
      <c r="X23" s="260" t="s">
        <v>123</v>
      </c>
      <c r="Y23" s="260" t="s">
        <v>123</v>
      </c>
      <c r="Z23" s="260" t="s">
        <v>123</v>
      </c>
      <c r="AA23" s="260" t="s">
        <v>123</v>
      </c>
      <c r="AB23" s="260" t="s">
        <v>123</v>
      </c>
      <c r="AC23" s="260"/>
      <c r="AD23" s="260"/>
      <c r="AE23" s="260"/>
      <c r="AF23" s="260"/>
      <c r="AG23" s="260"/>
      <c r="AH23" s="260"/>
      <c r="AI23" s="260">
        <v>10</v>
      </c>
      <c r="AJ23" s="260"/>
      <c r="AK23" s="260"/>
      <c r="AL23" s="260"/>
      <c r="AM23" s="260"/>
      <c r="AN23" s="260"/>
      <c r="AO23" s="260"/>
      <c r="AP23" s="260"/>
      <c r="AQ23" s="260"/>
      <c r="AR23" s="260"/>
      <c r="AS23" s="260"/>
      <c r="AT23" s="260"/>
      <c r="AU23" s="260"/>
      <c r="AV23" s="260"/>
      <c r="AW23" s="260">
        <v>5</v>
      </c>
      <c r="AX23" s="260"/>
      <c r="AY23" s="260"/>
      <c r="AZ23" s="260"/>
      <c r="BA23" s="260"/>
      <c r="BB23" s="260"/>
      <c r="BC23" s="260"/>
      <c r="BD23" s="260"/>
      <c r="BE23" s="260"/>
      <c r="BF23" s="260"/>
      <c r="BG23" s="260"/>
      <c r="BH23" s="260"/>
      <c r="BI23" s="260"/>
      <c r="BJ23" s="260"/>
      <c r="BK23" s="259"/>
      <c r="BL23" s="288"/>
      <c r="BM23" s="288"/>
      <c r="BN23" s="289"/>
      <c r="BO23" s="239"/>
      <c r="BP23" s="290">
        <f t="shared" si="1"/>
        <v>15</v>
      </c>
      <c r="BQ23" s="290">
        <f t="shared" si="2"/>
        <v>0.25</v>
      </c>
    </row>
    <row r="24" spans="1:69" ht="22.5">
      <c r="A24" s="259">
        <v>18</v>
      </c>
      <c r="B24" s="259" t="s">
        <v>348</v>
      </c>
      <c r="C24" s="300" t="s">
        <v>130</v>
      </c>
      <c r="D24" s="276" t="s">
        <v>121</v>
      </c>
      <c r="E24" s="259" t="s">
        <v>131</v>
      </c>
      <c r="F24" s="310" t="s">
        <v>292</v>
      </c>
      <c r="G24" s="301" t="s">
        <v>28</v>
      </c>
      <c r="H24" s="312" t="s">
        <v>308</v>
      </c>
      <c r="I24" s="242"/>
      <c r="J24" s="242" t="s">
        <v>123</v>
      </c>
      <c r="K24" s="242" t="s">
        <v>132</v>
      </c>
      <c r="L24" s="242"/>
      <c r="M24" s="242"/>
      <c r="N24" s="242"/>
      <c r="O24" s="260" t="s">
        <v>123</v>
      </c>
      <c r="P24" s="260" t="s">
        <v>123</v>
      </c>
      <c r="Q24" s="260" t="s">
        <v>129</v>
      </c>
      <c r="R24" s="260" t="s">
        <v>123</v>
      </c>
      <c r="S24" s="260" t="s">
        <v>123</v>
      </c>
      <c r="T24" s="260" t="s">
        <v>123</v>
      </c>
      <c r="U24" s="260" t="s">
        <v>123</v>
      </c>
      <c r="V24" s="260" t="s">
        <v>123</v>
      </c>
      <c r="W24" s="260" t="s">
        <v>123</v>
      </c>
      <c r="X24" s="260" t="s">
        <v>123</v>
      </c>
      <c r="Y24" s="260" t="s">
        <v>133</v>
      </c>
      <c r="Z24" s="260" t="s">
        <v>133</v>
      </c>
      <c r="AA24" s="260" t="s">
        <v>133</v>
      </c>
      <c r="AB24" s="260" t="s">
        <v>133</v>
      </c>
      <c r="AC24" s="260"/>
      <c r="AD24" s="260"/>
      <c r="AE24" s="260"/>
      <c r="AF24" s="260"/>
      <c r="AG24" s="260"/>
      <c r="AH24" s="260"/>
      <c r="AI24" s="260"/>
      <c r="AJ24" s="260">
        <v>10</v>
      </c>
      <c r="AK24" s="260"/>
      <c r="AL24" s="260"/>
      <c r="AM24" s="260"/>
      <c r="AN24" s="260"/>
      <c r="AO24" s="260"/>
      <c r="AP24" s="260"/>
      <c r="AQ24" s="260"/>
      <c r="AR24" s="260"/>
      <c r="AS24" s="260"/>
      <c r="AT24" s="260"/>
      <c r="AU24" s="260"/>
      <c r="AV24" s="260"/>
      <c r="AW24" s="260">
        <v>5</v>
      </c>
      <c r="AX24" s="260"/>
      <c r="AY24" s="260"/>
      <c r="AZ24" s="260"/>
      <c r="BA24" s="260"/>
      <c r="BB24" s="260"/>
      <c r="BC24" s="260"/>
      <c r="BD24" s="260"/>
      <c r="BE24" s="260"/>
      <c r="BF24" s="260"/>
      <c r="BG24" s="260"/>
      <c r="BH24" s="260"/>
      <c r="BI24" s="260"/>
      <c r="BJ24" s="260"/>
      <c r="BK24" s="259"/>
      <c r="BL24" s="288"/>
      <c r="BM24" s="288"/>
      <c r="BN24" s="289"/>
      <c r="BO24" s="239"/>
      <c r="BP24" s="290">
        <f t="shared" si="1"/>
        <v>15</v>
      </c>
      <c r="BQ24" s="290">
        <f t="shared" si="2"/>
        <v>0.25</v>
      </c>
    </row>
    <row r="25" spans="1:69" ht="25.5">
      <c r="A25" s="259">
        <v>19</v>
      </c>
      <c r="B25" s="259" t="s">
        <v>8</v>
      </c>
      <c r="C25" s="300" t="s">
        <v>134</v>
      </c>
      <c r="D25" s="276" t="s">
        <v>121</v>
      </c>
      <c r="E25" s="259" t="s">
        <v>122</v>
      </c>
      <c r="F25" s="310"/>
      <c r="G25" s="301" t="s">
        <v>159</v>
      </c>
      <c r="H25" s="312" t="s">
        <v>314</v>
      </c>
      <c r="I25" s="242"/>
      <c r="J25" s="242"/>
      <c r="K25" s="242" t="s">
        <v>123</v>
      </c>
      <c r="L25" s="242"/>
      <c r="M25" s="242"/>
      <c r="N25" s="242"/>
      <c r="O25" s="260" t="s">
        <v>123</v>
      </c>
      <c r="P25" s="260" t="s">
        <v>123</v>
      </c>
      <c r="Q25" s="260" t="s">
        <v>124</v>
      </c>
      <c r="R25" s="260" t="s">
        <v>123</v>
      </c>
      <c r="S25" s="260" t="s">
        <v>123</v>
      </c>
      <c r="T25" s="260" t="s">
        <v>123</v>
      </c>
      <c r="U25" s="260" t="s">
        <v>123</v>
      </c>
      <c r="V25" s="260" t="s">
        <v>123</v>
      </c>
      <c r="W25" s="260" t="s">
        <v>123</v>
      </c>
      <c r="X25" s="260" t="s">
        <v>123</v>
      </c>
      <c r="Y25" s="260" t="s">
        <v>123</v>
      </c>
      <c r="Z25" s="260" t="s">
        <v>123</v>
      </c>
      <c r="AA25" s="260" t="s">
        <v>123</v>
      </c>
      <c r="AB25" s="260" t="s">
        <v>123</v>
      </c>
      <c r="AC25" s="260"/>
      <c r="AD25" s="260"/>
      <c r="AE25" s="260"/>
      <c r="AF25" s="260"/>
      <c r="AG25" s="260"/>
      <c r="AH25" s="260"/>
      <c r="AI25" s="260"/>
      <c r="AJ25" s="260"/>
      <c r="AK25" s="260">
        <v>10</v>
      </c>
      <c r="AL25" s="260">
        <v>10</v>
      </c>
      <c r="AM25" s="260">
        <v>15</v>
      </c>
      <c r="AN25" s="260">
        <v>30</v>
      </c>
      <c r="AO25" s="260">
        <v>30</v>
      </c>
      <c r="AP25" s="260">
        <v>30</v>
      </c>
      <c r="AQ25" s="260">
        <v>20</v>
      </c>
      <c r="AR25" s="260">
        <v>10</v>
      </c>
      <c r="AS25" s="260">
        <v>10</v>
      </c>
      <c r="AT25" s="260">
        <v>10</v>
      </c>
      <c r="AU25" s="260">
        <v>10</v>
      </c>
      <c r="AV25" s="260">
        <v>10</v>
      </c>
      <c r="AW25" s="260">
        <v>15</v>
      </c>
      <c r="AX25" s="260">
        <v>15</v>
      </c>
      <c r="AY25" s="260">
        <v>15</v>
      </c>
      <c r="AZ25" s="260">
        <v>30</v>
      </c>
      <c r="BA25" s="260">
        <v>30</v>
      </c>
      <c r="BB25" s="260">
        <v>30</v>
      </c>
      <c r="BC25" s="260">
        <v>30</v>
      </c>
      <c r="BD25" s="260">
        <v>30</v>
      </c>
      <c r="BE25" s="260">
        <v>30</v>
      </c>
      <c r="BF25" s="260">
        <v>20</v>
      </c>
      <c r="BG25" s="260">
        <v>10</v>
      </c>
      <c r="BH25" s="260">
        <v>10</v>
      </c>
      <c r="BI25" s="260"/>
      <c r="BJ25" s="260"/>
      <c r="BK25" s="259"/>
      <c r="BL25" s="288"/>
      <c r="BM25" s="288"/>
      <c r="BN25" s="289"/>
      <c r="BO25" s="239"/>
      <c r="BP25" s="290">
        <f t="shared" si="1"/>
        <v>460</v>
      </c>
      <c r="BQ25" s="290">
        <f t="shared" si="2"/>
        <v>7.666666666666667</v>
      </c>
    </row>
    <row r="26" spans="1:69" ht="25.5">
      <c r="A26" s="259">
        <v>20</v>
      </c>
      <c r="B26" s="259" t="s">
        <v>8</v>
      </c>
      <c r="C26" s="300" t="s">
        <v>135</v>
      </c>
      <c r="D26" s="276" t="s">
        <v>121</v>
      </c>
      <c r="E26" s="259" t="s">
        <v>122</v>
      </c>
      <c r="F26" s="310"/>
      <c r="G26" s="301" t="s">
        <v>159</v>
      </c>
      <c r="H26" s="312" t="s">
        <v>315</v>
      </c>
      <c r="I26" s="242"/>
      <c r="J26" s="242"/>
      <c r="K26" s="242" t="s">
        <v>123</v>
      </c>
      <c r="L26" s="242"/>
      <c r="M26" s="242"/>
      <c r="N26" s="242"/>
      <c r="O26" s="260" t="s">
        <v>123</v>
      </c>
      <c r="P26" s="260" t="s">
        <v>123</v>
      </c>
      <c r="Q26" s="260" t="s">
        <v>124</v>
      </c>
      <c r="R26" s="260" t="s">
        <v>123</v>
      </c>
      <c r="S26" s="260" t="s">
        <v>123</v>
      </c>
      <c r="T26" s="260" t="s">
        <v>123</v>
      </c>
      <c r="U26" s="260" t="s">
        <v>123</v>
      </c>
      <c r="V26" s="260" t="s">
        <v>123</v>
      </c>
      <c r="W26" s="260" t="s">
        <v>123</v>
      </c>
      <c r="X26" s="260" t="s">
        <v>123</v>
      </c>
      <c r="Y26" s="260" t="s">
        <v>123</v>
      </c>
      <c r="Z26" s="260" t="s">
        <v>123</v>
      </c>
      <c r="AA26" s="260" t="s">
        <v>123</v>
      </c>
      <c r="AB26" s="260" t="s">
        <v>123</v>
      </c>
      <c r="AC26" s="260"/>
      <c r="AD26" s="260"/>
      <c r="AE26" s="260"/>
      <c r="AF26" s="260"/>
      <c r="AG26" s="260"/>
      <c r="AH26" s="260"/>
      <c r="AI26" s="260"/>
      <c r="AJ26" s="260"/>
      <c r="AK26" s="260">
        <v>5</v>
      </c>
      <c r="AL26" s="260">
        <v>10</v>
      </c>
      <c r="AM26" s="260">
        <v>15</v>
      </c>
      <c r="AN26" s="260">
        <v>15</v>
      </c>
      <c r="AO26" s="260">
        <v>15</v>
      </c>
      <c r="AP26" s="260">
        <v>15</v>
      </c>
      <c r="AQ26" s="260">
        <v>10</v>
      </c>
      <c r="AR26" s="260">
        <v>10</v>
      </c>
      <c r="AS26" s="260">
        <v>10</v>
      </c>
      <c r="AT26" s="260"/>
      <c r="AU26" s="260"/>
      <c r="AV26" s="260"/>
      <c r="AW26" s="260"/>
      <c r="AX26" s="260"/>
      <c r="AY26" s="260">
        <v>5</v>
      </c>
      <c r="AZ26" s="260">
        <v>15</v>
      </c>
      <c r="BA26" s="260">
        <v>30</v>
      </c>
      <c r="BB26" s="260">
        <v>30</v>
      </c>
      <c r="BC26" s="260">
        <v>30</v>
      </c>
      <c r="BD26" s="260">
        <v>30</v>
      </c>
      <c r="BE26" s="260">
        <v>30</v>
      </c>
      <c r="BF26" s="260">
        <v>20</v>
      </c>
      <c r="BG26" s="260">
        <v>10</v>
      </c>
      <c r="BH26" s="260">
        <v>5</v>
      </c>
      <c r="BI26" s="260"/>
      <c r="BJ26" s="260"/>
      <c r="BK26" s="259"/>
      <c r="BL26" s="288"/>
      <c r="BM26" s="288"/>
      <c r="BN26" s="289"/>
      <c r="BO26" s="239"/>
      <c r="BP26" s="290">
        <f t="shared" si="1"/>
        <v>310</v>
      </c>
      <c r="BQ26" s="290">
        <f t="shared" si="2"/>
        <v>5.166666666666667</v>
      </c>
    </row>
    <row r="27" spans="1:69" ht="25.5">
      <c r="A27" s="259">
        <v>21</v>
      </c>
      <c r="B27" s="259" t="s">
        <v>8</v>
      </c>
      <c r="C27" s="300" t="s">
        <v>288</v>
      </c>
      <c r="D27" s="276" t="s">
        <v>121</v>
      </c>
      <c r="E27" s="259" t="s">
        <v>122</v>
      </c>
      <c r="F27" s="310"/>
      <c r="G27" s="301" t="s">
        <v>159</v>
      </c>
      <c r="H27" s="312" t="s">
        <v>316</v>
      </c>
      <c r="I27" s="242"/>
      <c r="J27" s="242"/>
      <c r="K27" s="242" t="s">
        <v>123</v>
      </c>
      <c r="L27" s="242"/>
      <c r="M27" s="242"/>
      <c r="N27" s="242"/>
      <c r="O27" s="260" t="s">
        <v>123</v>
      </c>
      <c r="P27" s="260" t="s">
        <v>123</v>
      </c>
      <c r="Q27" s="260" t="s">
        <v>124</v>
      </c>
      <c r="R27" s="260" t="s">
        <v>123</v>
      </c>
      <c r="S27" s="260" t="s">
        <v>123</v>
      </c>
      <c r="T27" s="260" t="s">
        <v>123</v>
      </c>
      <c r="U27" s="260" t="s">
        <v>123</v>
      </c>
      <c r="V27" s="260" t="s">
        <v>123</v>
      </c>
      <c r="W27" s="260" t="s">
        <v>123</v>
      </c>
      <c r="X27" s="260" t="s">
        <v>123</v>
      </c>
      <c r="Y27" s="260" t="s">
        <v>123</v>
      </c>
      <c r="Z27" s="260" t="s">
        <v>123</v>
      </c>
      <c r="AA27" s="260" t="s">
        <v>123</v>
      </c>
      <c r="AB27" s="260" t="s">
        <v>123</v>
      </c>
      <c r="AC27" s="260"/>
      <c r="AD27" s="260"/>
      <c r="AE27" s="260"/>
      <c r="AF27" s="260"/>
      <c r="AG27" s="260"/>
      <c r="AH27" s="260"/>
      <c r="AI27" s="260"/>
      <c r="AJ27" s="260"/>
      <c r="AK27" s="260">
        <v>5</v>
      </c>
      <c r="AL27" s="260">
        <v>5</v>
      </c>
      <c r="AM27" s="260">
        <v>10</v>
      </c>
      <c r="AN27" s="260">
        <v>15</v>
      </c>
      <c r="AO27" s="260">
        <v>15</v>
      </c>
      <c r="AP27" s="260">
        <v>15</v>
      </c>
      <c r="AQ27" s="260">
        <v>15</v>
      </c>
      <c r="AR27" s="260">
        <v>5</v>
      </c>
      <c r="AS27" s="260">
        <v>5</v>
      </c>
      <c r="AT27" s="260">
        <v>5</v>
      </c>
      <c r="AU27" s="260">
        <v>5</v>
      </c>
      <c r="AV27" s="260">
        <v>5</v>
      </c>
      <c r="AW27" s="260">
        <v>5</v>
      </c>
      <c r="AX27" s="260">
        <v>5</v>
      </c>
      <c r="AY27" s="260">
        <v>5</v>
      </c>
      <c r="AZ27" s="260">
        <v>10</v>
      </c>
      <c r="BA27" s="260">
        <v>15</v>
      </c>
      <c r="BB27" s="260">
        <v>15</v>
      </c>
      <c r="BC27" s="260">
        <v>15</v>
      </c>
      <c r="BD27" s="260">
        <v>15</v>
      </c>
      <c r="BE27" s="260">
        <v>15</v>
      </c>
      <c r="BF27" s="260">
        <v>10</v>
      </c>
      <c r="BG27" s="260">
        <v>10</v>
      </c>
      <c r="BH27" s="260">
        <v>5</v>
      </c>
      <c r="BI27" s="260"/>
      <c r="BJ27" s="260"/>
      <c r="BK27" s="259"/>
      <c r="BL27" s="288"/>
      <c r="BM27" s="288"/>
      <c r="BN27" s="289"/>
      <c r="BO27" s="239"/>
      <c r="BP27" s="290">
        <f t="shared" si="1"/>
        <v>230</v>
      </c>
      <c r="BQ27" s="290">
        <f t="shared" si="2"/>
        <v>3.8333333333333335</v>
      </c>
    </row>
    <row r="28" spans="1:69" ht="25.5">
      <c r="A28" s="259">
        <v>22</v>
      </c>
      <c r="B28" s="259" t="s">
        <v>8</v>
      </c>
      <c r="C28" s="300" t="s">
        <v>136</v>
      </c>
      <c r="D28" s="276" t="s">
        <v>121</v>
      </c>
      <c r="E28" s="259" t="s">
        <v>122</v>
      </c>
      <c r="F28" s="310"/>
      <c r="G28" s="301" t="s">
        <v>159</v>
      </c>
      <c r="H28" s="312" t="s">
        <v>316</v>
      </c>
      <c r="I28" s="242"/>
      <c r="J28" s="242"/>
      <c r="K28" s="242" t="s">
        <v>123</v>
      </c>
      <c r="L28" s="242"/>
      <c r="M28" s="242"/>
      <c r="N28" s="242"/>
      <c r="O28" s="260" t="s">
        <v>123</v>
      </c>
      <c r="P28" s="260" t="s">
        <v>123</v>
      </c>
      <c r="Q28" s="260" t="s">
        <v>124</v>
      </c>
      <c r="R28" s="260" t="s">
        <v>123</v>
      </c>
      <c r="S28" s="260" t="s">
        <v>123</v>
      </c>
      <c r="T28" s="260" t="s">
        <v>123</v>
      </c>
      <c r="U28" s="260" t="s">
        <v>123</v>
      </c>
      <c r="V28" s="260" t="s">
        <v>123</v>
      </c>
      <c r="W28" s="260" t="s">
        <v>123</v>
      </c>
      <c r="X28" s="260" t="s">
        <v>123</v>
      </c>
      <c r="Y28" s="260" t="s">
        <v>123</v>
      </c>
      <c r="Z28" s="260" t="s">
        <v>123</v>
      </c>
      <c r="AA28" s="260" t="s">
        <v>123</v>
      </c>
      <c r="AB28" s="260" t="s">
        <v>123</v>
      </c>
      <c r="AC28" s="260"/>
      <c r="AD28" s="260"/>
      <c r="AE28" s="260"/>
      <c r="AF28" s="260"/>
      <c r="AG28" s="260"/>
      <c r="AH28" s="260"/>
      <c r="AI28" s="260"/>
      <c r="AJ28" s="260"/>
      <c r="AK28" s="260">
        <v>5</v>
      </c>
      <c r="AL28" s="260">
        <v>5</v>
      </c>
      <c r="AM28" s="260">
        <v>5</v>
      </c>
      <c r="AN28" s="260">
        <v>5</v>
      </c>
      <c r="AO28" s="260">
        <v>10</v>
      </c>
      <c r="AP28" s="260">
        <v>10</v>
      </c>
      <c r="AQ28" s="260">
        <v>10</v>
      </c>
      <c r="AR28" s="260"/>
      <c r="AS28" s="260"/>
      <c r="AT28" s="260"/>
      <c r="AU28" s="260"/>
      <c r="AV28" s="260"/>
      <c r="AW28" s="260"/>
      <c r="AX28" s="260"/>
      <c r="AY28" s="260">
        <v>5</v>
      </c>
      <c r="AZ28" s="260">
        <v>5</v>
      </c>
      <c r="BA28" s="260">
        <v>15</v>
      </c>
      <c r="BB28" s="260">
        <v>15</v>
      </c>
      <c r="BC28" s="260">
        <v>15</v>
      </c>
      <c r="BD28" s="260">
        <v>15</v>
      </c>
      <c r="BE28" s="260">
        <v>15</v>
      </c>
      <c r="BF28" s="260">
        <v>15</v>
      </c>
      <c r="BG28" s="260"/>
      <c r="BH28" s="260"/>
      <c r="BI28" s="260"/>
      <c r="BJ28" s="260"/>
      <c r="BK28" s="259"/>
      <c r="BL28" s="288"/>
      <c r="BM28" s="288"/>
      <c r="BN28" s="289"/>
      <c r="BO28" s="239"/>
      <c r="BP28" s="290">
        <f t="shared" si="1"/>
        <v>150</v>
      </c>
      <c r="BQ28" s="290">
        <f t="shared" si="2"/>
        <v>2.5</v>
      </c>
    </row>
    <row r="29" spans="1:69" ht="25.5">
      <c r="A29" s="259">
        <v>23</v>
      </c>
      <c r="B29" s="338" t="s">
        <v>8</v>
      </c>
      <c r="C29" s="339" t="s">
        <v>317</v>
      </c>
      <c r="D29" s="340" t="s">
        <v>121</v>
      </c>
      <c r="E29" s="338" t="s">
        <v>122</v>
      </c>
      <c r="F29" s="341"/>
      <c r="G29" s="342" t="s">
        <v>159</v>
      </c>
      <c r="H29" s="343" t="s">
        <v>318</v>
      </c>
      <c r="I29" s="242"/>
      <c r="J29" s="242"/>
      <c r="K29" s="242"/>
      <c r="L29" s="242" t="s">
        <v>123</v>
      </c>
      <c r="M29" s="242"/>
      <c r="N29" s="242"/>
      <c r="O29" s="260" t="s">
        <v>123</v>
      </c>
      <c r="P29" s="260" t="s">
        <v>123</v>
      </c>
      <c r="Q29" s="260" t="s">
        <v>124</v>
      </c>
      <c r="R29" s="260" t="s">
        <v>123</v>
      </c>
      <c r="S29" s="260" t="s">
        <v>123</v>
      </c>
      <c r="T29" s="260" t="s">
        <v>123</v>
      </c>
      <c r="U29" s="260" t="s">
        <v>123</v>
      </c>
      <c r="V29" s="260" t="s">
        <v>123</v>
      </c>
      <c r="W29" s="260" t="s">
        <v>123</v>
      </c>
      <c r="X29" s="260" t="s">
        <v>123</v>
      </c>
      <c r="Y29" s="260" t="s">
        <v>123</v>
      </c>
      <c r="Z29" s="260" t="s">
        <v>123</v>
      </c>
      <c r="AA29" s="260" t="s">
        <v>123</v>
      </c>
      <c r="AB29" s="260" t="s">
        <v>123</v>
      </c>
      <c r="AC29" s="260"/>
      <c r="AD29" s="260"/>
      <c r="AE29" s="260"/>
      <c r="AF29" s="260"/>
      <c r="AG29" s="260"/>
      <c r="AH29" s="260"/>
      <c r="AI29" s="260"/>
      <c r="AJ29" s="260"/>
      <c r="AK29" s="260"/>
      <c r="AL29" s="260"/>
      <c r="AM29" s="260">
        <v>5</v>
      </c>
      <c r="AN29" s="260">
        <v>5</v>
      </c>
      <c r="AO29" s="260">
        <v>10</v>
      </c>
      <c r="AP29" s="260">
        <v>10</v>
      </c>
      <c r="AQ29" s="260">
        <v>10</v>
      </c>
      <c r="AR29" s="260"/>
      <c r="AS29" s="260"/>
      <c r="AT29" s="260"/>
      <c r="AU29" s="260"/>
      <c r="AV29" s="260"/>
      <c r="AW29" s="260"/>
      <c r="AX29" s="260"/>
      <c r="AY29" s="260"/>
      <c r="AZ29" s="260"/>
      <c r="BA29" s="260">
        <v>15</v>
      </c>
      <c r="BB29" s="260">
        <v>15</v>
      </c>
      <c r="BC29" s="260">
        <v>15</v>
      </c>
      <c r="BD29" s="260">
        <v>15</v>
      </c>
      <c r="BE29" s="260">
        <v>10</v>
      </c>
      <c r="BF29" s="260">
        <v>10</v>
      </c>
      <c r="BG29" s="260"/>
      <c r="BH29" s="260"/>
      <c r="BI29" s="260"/>
      <c r="BJ29" s="260"/>
      <c r="BK29" s="259"/>
      <c r="BL29" s="288"/>
      <c r="BM29" s="288"/>
      <c r="BN29" s="289"/>
      <c r="BO29" s="239"/>
      <c r="BP29" s="290">
        <f t="shared" si="1"/>
        <v>120</v>
      </c>
      <c r="BQ29" s="290">
        <f t="shared" si="2"/>
        <v>2</v>
      </c>
    </row>
    <row r="30" spans="1:69" ht="25.5">
      <c r="A30" s="259">
        <v>24</v>
      </c>
      <c r="B30" s="338" t="s">
        <v>8</v>
      </c>
      <c r="C30" s="339" t="s">
        <v>128</v>
      </c>
      <c r="D30" s="340" t="s">
        <v>125</v>
      </c>
      <c r="E30" s="338" t="s">
        <v>122</v>
      </c>
      <c r="F30" s="341" t="s">
        <v>309</v>
      </c>
      <c r="G30" s="342" t="s">
        <v>159</v>
      </c>
      <c r="H30" s="343" t="s">
        <v>319</v>
      </c>
      <c r="I30" s="242"/>
      <c r="J30" s="242" t="s">
        <v>123</v>
      </c>
      <c r="K30" s="242" t="s">
        <v>123</v>
      </c>
      <c r="L30" s="242" t="s">
        <v>123</v>
      </c>
      <c r="M30" s="242" t="s">
        <v>123</v>
      </c>
      <c r="N30" s="242" t="s">
        <v>123</v>
      </c>
      <c r="O30" s="260" t="s">
        <v>123</v>
      </c>
      <c r="P30" s="260" t="s">
        <v>123</v>
      </c>
      <c r="Q30" s="260" t="s">
        <v>124</v>
      </c>
      <c r="R30" s="260" t="s">
        <v>123</v>
      </c>
      <c r="S30" s="260" t="s">
        <v>123</v>
      </c>
      <c r="T30" s="260" t="s">
        <v>123</v>
      </c>
      <c r="U30" s="260" t="s">
        <v>123</v>
      </c>
      <c r="V30" s="260" t="s">
        <v>123</v>
      </c>
      <c r="W30" s="260" t="s">
        <v>123</v>
      </c>
      <c r="X30" s="260" t="s">
        <v>123</v>
      </c>
      <c r="Y30" s="260" t="s">
        <v>123</v>
      </c>
      <c r="Z30" s="260" t="s">
        <v>123</v>
      </c>
      <c r="AA30" s="260" t="s">
        <v>123</v>
      </c>
      <c r="AB30" s="260" t="s">
        <v>123</v>
      </c>
      <c r="AC30" s="260"/>
      <c r="AD30" s="260"/>
      <c r="AE30" s="260"/>
      <c r="AF30" s="260"/>
      <c r="AG30" s="260"/>
      <c r="AH30" s="260"/>
      <c r="AI30" s="260"/>
      <c r="AJ30" s="260"/>
      <c r="AK30" s="260"/>
      <c r="AL30" s="260"/>
      <c r="AM30" s="260"/>
      <c r="AN30" s="260"/>
      <c r="AO30" s="260"/>
      <c r="AP30" s="260"/>
      <c r="AQ30" s="260">
        <v>10</v>
      </c>
      <c r="AR30" s="260">
        <v>30</v>
      </c>
      <c r="AS30" s="260">
        <v>20</v>
      </c>
      <c r="AT30" s="260"/>
      <c r="AU30" s="260"/>
      <c r="AV30" s="260"/>
      <c r="AW30" s="260"/>
      <c r="AX30" s="260">
        <v>30</v>
      </c>
      <c r="AY30" s="260"/>
      <c r="AZ30" s="260"/>
      <c r="BA30" s="260"/>
      <c r="BB30" s="260"/>
      <c r="BC30" s="260"/>
      <c r="BD30" s="260"/>
      <c r="BE30" s="260">
        <v>20</v>
      </c>
      <c r="BF30" s="260">
        <v>30</v>
      </c>
      <c r="BG30" s="260">
        <v>20</v>
      </c>
      <c r="BH30" s="260"/>
      <c r="BI30" s="260"/>
      <c r="BJ30" s="260"/>
      <c r="BK30" s="259"/>
      <c r="BL30" s="288"/>
      <c r="BM30" s="288"/>
      <c r="BN30" s="289"/>
      <c r="BO30" s="239"/>
      <c r="BP30" s="290">
        <f t="shared" si="1"/>
        <v>160</v>
      </c>
      <c r="BQ30" s="290">
        <f t="shared" si="2"/>
        <v>2.6666666666666665</v>
      </c>
    </row>
    <row r="31" spans="1:69" ht="25.5">
      <c r="A31" s="259">
        <v>25</v>
      </c>
      <c r="B31" s="338" t="s">
        <v>347</v>
      </c>
      <c r="C31" s="339" t="s">
        <v>333</v>
      </c>
      <c r="D31" s="340" t="s">
        <v>125</v>
      </c>
      <c r="E31" s="338" t="s">
        <v>122</v>
      </c>
      <c r="F31" s="341" t="s">
        <v>292</v>
      </c>
      <c r="G31" s="342" t="s">
        <v>159</v>
      </c>
      <c r="H31" s="343" t="s">
        <v>334</v>
      </c>
      <c r="I31" s="242"/>
      <c r="J31" s="242"/>
      <c r="K31" s="242"/>
      <c r="L31" s="242"/>
      <c r="M31" s="242"/>
      <c r="N31" s="242"/>
      <c r="O31" s="260"/>
      <c r="P31" s="260"/>
      <c r="Q31" s="260"/>
      <c r="R31" s="260"/>
      <c r="S31" s="260"/>
      <c r="T31" s="260"/>
      <c r="U31" s="260"/>
      <c r="V31" s="260"/>
      <c r="W31" s="260"/>
      <c r="X31" s="260"/>
      <c r="Y31" s="260"/>
      <c r="Z31" s="260"/>
      <c r="AA31" s="260"/>
      <c r="AB31" s="260"/>
      <c r="AC31" s="260"/>
      <c r="AD31" s="260"/>
      <c r="AE31" s="260"/>
      <c r="AF31" s="260"/>
      <c r="AG31" s="260"/>
      <c r="AH31" s="260"/>
      <c r="AI31" s="260"/>
      <c r="AJ31" s="260">
        <v>10</v>
      </c>
      <c r="AK31" s="260"/>
      <c r="AL31" s="260"/>
      <c r="AM31" s="260"/>
      <c r="AN31" s="260"/>
      <c r="AO31" s="260"/>
      <c r="AP31" s="260"/>
      <c r="AQ31" s="260"/>
      <c r="AR31" s="260"/>
      <c r="AS31" s="260"/>
      <c r="AT31" s="260">
        <v>10</v>
      </c>
      <c r="AU31" s="260"/>
      <c r="AV31" s="260"/>
      <c r="AW31" s="260"/>
      <c r="AX31" s="260"/>
      <c r="AY31" s="260"/>
      <c r="AZ31" s="260">
        <v>10</v>
      </c>
      <c r="BA31" s="260"/>
      <c r="BB31" s="260"/>
      <c r="BC31" s="260"/>
      <c r="BD31" s="260"/>
      <c r="BE31" s="260"/>
      <c r="BF31" s="260"/>
      <c r="BG31" s="260"/>
      <c r="BH31" s="260">
        <v>10</v>
      </c>
      <c r="BI31" s="260"/>
      <c r="BJ31" s="260"/>
      <c r="BK31" s="259"/>
      <c r="BL31" s="288"/>
      <c r="BM31" s="288"/>
      <c r="BN31" s="289"/>
      <c r="BO31" s="239"/>
      <c r="BP31" s="290"/>
      <c r="BQ31" s="290"/>
    </row>
    <row r="32" spans="1:69">
      <c r="A32" s="259">
        <v>26</v>
      </c>
      <c r="B32" s="259" t="s">
        <v>11</v>
      </c>
      <c r="C32" s="300" t="s">
        <v>332</v>
      </c>
      <c r="D32" s="276" t="s">
        <v>125</v>
      </c>
      <c r="E32" s="259" t="s">
        <v>122</v>
      </c>
      <c r="F32" s="310" t="s">
        <v>129</v>
      </c>
      <c r="G32" s="301" t="s">
        <v>28</v>
      </c>
      <c r="H32" s="312"/>
      <c r="I32" s="242"/>
      <c r="J32" s="242"/>
      <c r="K32" s="242"/>
      <c r="L32" s="242"/>
      <c r="M32" s="242"/>
      <c r="N32" s="242" t="s">
        <v>123</v>
      </c>
      <c r="O32" s="260" t="s">
        <v>123</v>
      </c>
      <c r="P32" s="260" t="s">
        <v>123</v>
      </c>
      <c r="Q32" s="260" t="s">
        <v>124</v>
      </c>
      <c r="R32" s="260" t="s">
        <v>123</v>
      </c>
      <c r="S32" s="260" t="s">
        <v>123</v>
      </c>
      <c r="T32" s="260" t="s">
        <v>123</v>
      </c>
      <c r="U32" s="260" t="s">
        <v>123</v>
      </c>
      <c r="V32" s="260" t="s">
        <v>123</v>
      </c>
      <c r="W32" s="260" t="s">
        <v>123</v>
      </c>
      <c r="X32" s="260" t="s">
        <v>123</v>
      </c>
      <c r="Y32" s="260" t="s">
        <v>123</v>
      </c>
      <c r="Z32" s="260" t="s">
        <v>123</v>
      </c>
      <c r="AA32" s="260" t="s">
        <v>123</v>
      </c>
      <c r="AB32" s="260" t="s">
        <v>123</v>
      </c>
      <c r="AC32" s="260"/>
      <c r="AD32" s="260"/>
      <c r="AE32" s="260"/>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c r="BH32" s="260"/>
      <c r="BI32" s="260"/>
      <c r="BJ32" s="260"/>
      <c r="BK32" s="259"/>
      <c r="BL32" s="288"/>
      <c r="BM32" s="288"/>
      <c r="BN32" s="289"/>
      <c r="BO32" s="239"/>
      <c r="BP32" s="290">
        <f>SUM(AC32:BO32)</f>
        <v>0</v>
      </c>
      <c r="BQ32" s="290">
        <f t="shared" si="2"/>
        <v>0</v>
      </c>
    </row>
    <row r="33" spans="1:69" ht="22.5">
      <c r="A33" s="259">
        <v>27</v>
      </c>
      <c r="B33" s="259" t="s">
        <v>11</v>
      </c>
      <c r="C33" s="300" t="s">
        <v>142</v>
      </c>
      <c r="D33" s="276" t="s">
        <v>125</v>
      </c>
      <c r="E33" s="259" t="s">
        <v>122</v>
      </c>
      <c r="F33" s="310" t="s">
        <v>129</v>
      </c>
      <c r="G33" s="301" t="s">
        <v>28</v>
      </c>
      <c r="H33" s="312" t="s">
        <v>237</v>
      </c>
      <c r="I33" s="242"/>
      <c r="J33" s="242"/>
      <c r="K33" s="242" t="s">
        <v>123</v>
      </c>
      <c r="L33" s="242" t="s">
        <v>123</v>
      </c>
      <c r="M33" s="242"/>
      <c r="N33" s="242"/>
      <c r="O33" s="260" t="s">
        <v>123</v>
      </c>
      <c r="P33" s="260" t="s">
        <v>123</v>
      </c>
      <c r="Q33" s="260" t="s">
        <v>126</v>
      </c>
      <c r="R33" s="260" t="s">
        <v>123</v>
      </c>
      <c r="S33" s="260" t="s">
        <v>123</v>
      </c>
      <c r="T33" s="260" t="s">
        <v>123</v>
      </c>
      <c r="U33" s="260" t="s">
        <v>123</v>
      </c>
      <c r="V33" s="260" t="s">
        <v>123</v>
      </c>
      <c r="W33" s="260" t="s">
        <v>123</v>
      </c>
      <c r="X33" s="260" t="s">
        <v>123</v>
      </c>
      <c r="Y33" s="260" t="s">
        <v>123</v>
      </c>
      <c r="Z33" s="260" t="s">
        <v>123</v>
      </c>
      <c r="AA33" s="260" t="s">
        <v>123</v>
      </c>
      <c r="AB33" s="260" t="s">
        <v>123</v>
      </c>
      <c r="AC33" s="260"/>
      <c r="AD33" s="260"/>
      <c r="AE33" s="260"/>
      <c r="AF33" s="260"/>
      <c r="AG33" s="260"/>
      <c r="AH33" s="260"/>
      <c r="AI33" s="260">
        <v>10</v>
      </c>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59"/>
      <c r="BL33" s="288"/>
      <c r="BM33" s="288"/>
      <c r="BN33" s="289"/>
      <c r="BO33" s="239"/>
      <c r="BP33" s="290">
        <f t="shared" si="1"/>
        <v>10</v>
      </c>
      <c r="BQ33" s="290">
        <f t="shared" si="2"/>
        <v>0.16666666666666666</v>
      </c>
    </row>
    <row r="34" spans="1:69" ht="25.5">
      <c r="A34" s="259">
        <v>28</v>
      </c>
      <c r="B34" s="338" t="s">
        <v>11</v>
      </c>
      <c r="C34" s="339" t="s">
        <v>141</v>
      </c>
      <c r="D34" s="340" t="s">
        <v>125</v>
      </c>
      <c r="E34" s="338" t="s">
        <v>122</v>
      </c>
      <c r="F34" s="341" t="s">
        <v>309</v>
      </c>
      <c r="G34" s="342" t="s">
        <v>159</v>
      </c>
      <c r="H34" s="343" t="s">
        <v>310</v>
      </c>
      <c r="I34" s="242"/>
      <c r="J34" s="242"/>
      <c r="K34" s="242" t="s">
        <v>123</v>
      </c>
      <c r="L34" s="242" t="s">
        <v>123</v>
      </c>
      <c r="M34" s="242"/>
      <c r="N34" s="242"/>
      <c r="O34" s="260" t="s">
        <v>123</v>
      </c>
      <c r="P34" s="260" t="s">
        <v>123</v>
      </c>
      <c r="Q34" s="260" t="s">
        <v>126</v>
      </c>
      <c r="R34" s="260" t="s">
        <v>123</v>
      </c>
      <c r="S34" s="260" t="s">
        <v>123</v>
      </c>
      <c r="T34" s="260" t="s">
        <v>123</v>
      </c>
      <c r="U34" s="260" t="s">
        <v>123</v>
      </c>
      <c r="V34" s="260" t="s">
        <v>123</v>
      </c>
      <c r="W34" s="260" t="s">
        <v>123</v>
      </c>
      <c r="X34" s="260" t="s">
        <v>123</v>
      </c>
      <c r="Y34" s="260" t="s">
        <v>123</v>
      </c>
      <c r="Z34" s="260" t="s">
        <v>123</v>
      </c>
      <c r="AA34" s="260" t="s">
        <v>123</v>
      </c>
      <c r="AB34" s="260" t="s">
        <v>123</v>
      </c>
      <c r="AC34" s="260"/>
      <c r="AD34" s="260"/>
      <c r="AE34" s="260"/>
      <c r="AF34" s="260"/>
      <c r="AG34" s="260"/>
      <c r="AH34" s="260"/>
      <c r="AI34" s="260">
        <v>15</v>
      </c>
      <c r="AJ34" s="260"/>
      <c r="AK34" s="260"/>
      <c r="AL34" s="260"/>
      <c r="AM34" s="260"/>
      <c r="AN34" s="260"/>
      <c r="AO34" s="260"/>
      <c r="AP34" s="260"/>
      <c r="AQ34" s="260"/>
      <c r="AR34" s="260"/>
      <c r="AS34" s="260"/>
      <c r="AT34" s="260">
        <v>15</v>
      </c>
      <c r="AU34" s="260"/>
      <c r="AV34" s="260"/>
      <c r="AW34" s="260"/>
      <c r="AX34" s="260"/>
      <c r="AY34" s="260"/>
      <c r="AZ34" s="260"/>
      <c r="BA34" s="260"/>
      <c r="BB34" s="260"/>
      <c r="BC34" s="260"/>
      <c r="BD34" s="260"/>
      <c r="BE34" s="260"/>
      <c r="BF34" s="260"/>
      <c r="BG34" s="260"/>
      <c r="BH34" s="260">
        <v>15</v>
      </c>
      <c r="BI34" s="260"/>
      <c r="BJ34" s="260"/>
      <c r="BK34" s="259"/>
      <c r="BL34" s="288"/>
      <c r="BM34" s="288"/>
      <c r="BN34" s="289"/>
      <c r="BO34" s="239"/>
      <c r="BP34" s="290">
        <f t="shared" si="1"/>
        <v>45</v>
      </c>
      <c r="BQ34" s="290">
        <f t="shared" si="2"/>
        <v>0.75</v>
      </c>
    </row>
    <row r="35" spans="1:69" ht="22.5">
      <c r="A35" s="259">
        <v>29</v>
      </c>
      <c r="B35" s="259" t="s">
        <v>11</v>
      </c>
      <c r="C35" s="300" t="s">
        <v>340</v>
      </c>
      <c r="D35" s="276" t="s">
        <v>125</v>
      </c>
      <c r="E35" s="259" t="s">
        <v>122</v>
      </c>
      <c r="F35" s="310" t="s">
        <v>129</v>
      </c>
      <c r="G35" s="301" t="s">
        <v>28</v>
      </c>
      <c r="H35" s="312" t="s">
        <v>237</v>
      </c>
      <c r="I35" s="242"/>
      <c r="J35" s="242"/>
      <c r="K35" s="242"/>
      <c r="L35" s="242"/>
      <c r="M35" s="242"/>
      <c r="N35" s="242"/>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0"/>
      <c r="BK35" s="259"/>
      <c r="BL35" s="288"/>
      <c r="BM35" s="288"/>
      <c r="BN35" s="289"/>
      <c r="BO35" s="239"/>
      <c r="BP35" s="290">
        <f>SUM(AC35:BO35)</f>
        <v>0</v>
      </c>
      <c r="BQ35" s="290">
        <f t="shared" si="2"/>
        <v>0</v>
      </c>
    </row>
    <row r="36" spans="1:69" ht="33.75">
      <c r="A36" s="259">
        <v>30</v>
      </c>
      <c r="B36" s="259" t="s">
        <v>11</v>
      </c>
      <c r="C36" s="300" t="s">
        <v>341</v>
      </c>
      <c r="D36" s="276" t="s">
        <v>125</v>
      </c>
      <c r="E36" s="259" t="s">
        <v>122</v>
      </c>
      <c r="F36" s="310" t="s">
        <v>129</v>
      </c>
      <c r="G36" s="301" t="s">
        <v>28</v>
      </c>
      <c r="H36" s="312" t="s">
        <v>311</v>
      </c>
      <c r="I36" s="242"/>
      <c r="J36" s="242"/>
      <c r="K36" s="242"/>
      <c r="L36" s="242" t="s">
        <v>123</v>
      </c>
      <c r="M36" s="242"/>
      <c r="N36" s="242"/>
      <c r="O36" s="260"/>
      <c r="P36" s="260"/>
      <c r="Q36" s="260"/>
      <c r="R36" s="260"/>
      <c r="S36" s="260"/>
      <c r="T36" s="260"/>
      <c r="U36" s="260"/>
      <c r="V36" s="260"/>
      <c r="W36" s="260"/>
      <c r="X36" s="260"/>
      <c r="Y36" s="260"/>
      <c r="Z36" s="260"/>
      <c r="AA36" s="260"/>
      <c r="AB36" s="260"/>
      <c r="AC36" s="260"/>
      <c r="AD36" s="260"/>
      <c r="AE36" s="260"/>
      <c r="AF36" s="260"/>
      <c r="AG36" s="260"/>
      <c r="AH36" s="260"/>
      <c r="AI36" s="260"/>
      <c r="AJ36" s="260">
        <v>10</v>
      </c>
      <c r="AK36" s="260">
        <v>10</v>
      </c>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60"/>
      <c r="BK36" s="259"/>
      <c r="BL36" s="288"/>
      <c r="BM36" s="288"/>
      <c r="BN36" s="289"/>
      <c r="BO36" s="239"/>
      <c r="BP36" s="290">
        <f t="shared" si="1"/>
        <v>20</v>
      </c>
      <c r="BQ36" s="290">
        <f t="shared" si="2"/>
        <v>0.33333333333333331</v>
      </c>
    </row>
    <row r="37" spans="1:69">
      <c r="A37" s="259">
        <v>31</v>
      </c>
      <c r="B37" s="259" t="s">
        <v>11</v>
      </c>
      <c r="C37" s="300" t="s">
        <v>300</v>
      </c>
      <c r="D37" s="276" t="s">
        <v>125</v>
      </c>
      <c r="E37" s="259" t="s">
        <v>122</v>
      </c>
      <c r="F37" s="310" t="s">
        <v>129</v>
      </c>
      <c r="G37" s="301" t="s">
        <v>28</v>
      </c>
      <c r="H37" s="312" t="s">
        <v>312</v>
      </c>
      <c r="I37" s="242"/>
      <c r="J37" s="242"/>
      <c r="K37" s="242"/>
      <c r="L37" s="242" t="s">
        <v>123</v>
      </c>
      <c r="M37" s="242"/>
      <c r="N37" s="242"/>
      <c r="O37" s="260"/>
      <c r="P37" s="260"/>
      <c r="Q37" s="260"/>
      <c r="R37" s="260"/>
      <c r="S37" s="260"/>
      <c r="T37" s="260"/>
      <c r="U37" s="260"/>
      <c r="V37" s="260"/>
      <c r="W37" s="260"/>
      <c r="X37" s="260"/>
      <c r="Y37" s="260"/>
      <c r="Z37" s="260"/>
      <c r="AA37" s="260"/>
      <c r="AB37" s="260"/>
      <c r="AC37" s="260"/>
      <c r="AD37" s="260"/>
      <c r="AE37" s="260"/>
      <c r="AF37" s="260"/>
      <c r="AG37" s="260"/>
      <c r="AH37" s="260"/>
      <c r="AI37" s="260"/>
      <c r="AJ37" s="260">
        <v>5</v>
      </c>
      <c r="AK37" s="260"/>
      <c r="AL37" s="260">
        <v>10</v>
      </c>
      <c r="AM37" s="260"/>
      <c r="AN37" s="260"/>
      <c r="AO37" s="260"/>
      <c r="AP37" s="260"/>
      <c r="AQ37" s="260"/>
      <c r="AR37" s="260"/>
      <c r="AS37" s="260">
        <v>10</v>
      </c>
      <c r="AT37" s="260"/>
      <c r="AU37" s="260">
        <v>15</v>
      </c>
      <c r="AV37" s="260"/>
      <c r="AW37" s="260"/>
      <c r="AX37" s="260"/>
      <c r="AY37" s="260"/>
      <c r="AZ37" s="260"/>
      <c r="BA37" s="260"/>
      <c r="BB37" s="260"/>
      <c r="BC37" s="260"/>
      <c r="BD37" s="260"/>
      <c r="BE37" s="260"/>
      <c r="BF37" s="260"/>
      <c r="BG37" s="260"/>
      <c r="BH37" s="260"/>
      <c r="BI37" s="260"/>
      <c r="BJ37" s="260"/>
      <c r="BK37" s="259"/>
      <c r="BL37" s="288"/>
      <c r="BM37" s="288"/>
      <c r="BN37" s="289"/>
      <c r="BO37" s="239"/>
      <c r="BP37" s="290">
        <f t="shared" si="1"/>
        <v>40</v>
      </c>
      <c r="BQ37" s="290">
        <f t="shared" si="2"/>
        <v>0.66666666666666663</v>
      </c>
    </row>
    <row r="38" spans="1:69" ht="33.75">
      <c r="A38" s="259">
        <v>32</v>
      </c>
      <c r="B38" s="259" t="s">
        <v>11</v>
      </c>
      <c r="C38" s="300" t="s">
        <v>139</v>
      </c>
      <c r="D38" s="276" t="s">
        <v>121</v>
      </c>
      <c r="E38" s="259" t="s">
        <v>122</v>
      </c>
      <c r="F38" s="310" t="s">
        <v>129</v>
      </c>
      <c r="G38" s="301" t="s">
        <v>28</v>
      </c>
      <c r="H38" s="312" t="s">
        <v>241</v>
      </c>
      <c r="I38" s="242"/>
      <c r="J38" s="242" t="s">
        <v>123</v>
      </c>
      <c r="K38" s="242"/>
      <c r="L38" s="242" t="s">
        <v>123</v>
      </c>
      <c r="M38" s="242"/>
      <c r="N38" s="242"/>
      <c r="O38" s="260"/>
      <c r="P38" s="260"/>
      <c r="Q38" s="260" t="s">
        <v>140</v>
      </c>
      <c r="R38" s="260" t="s">
        <v>123</v>
      </c>
      <c r="S38" s="260" t="s">
        <v>123</v>
      </c>
      <c r="T38" s="260" t="s">
        <v>123</v>
      </c>
      <c r="U38" s="260" t="s">
        <v>123</v>
      </c>
      <c r="V38" s="260" t="s">
        <v>123</v>
      </c>
      <c r="W38" s="260" t="s">
        <v>123</v>
      </c>
      <c r="X38" s="260" t="s">
        <v>123</v>
      </c>
      <c r="Y38" s="260" t="s">
        <v>123</v>
      </c>
      <c r="Z38" s="260" t="s">
        <v>123</v>
      </c>
      <c r="AA38" s="260" t="s">
        <v>123</v>
      </c>
      <c r="AB38" s="260" t="s">
        <v>123</v>
      </c>
      <c r="AC38" s="260"/>
      <c r="AD38" s="260"/>
      <c r="AE38" s="260"/>
      <c r="AF38" s="260"/>
      <c r="AG38" s="260"/>
      <c r="AH38" s="260"/>
      <c r="AI38" s="260"/>
      <c r="AJ38" s="260">
        <v>5</v>
      </c>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59"/>
      <c r="BL38" s="288"/>
      <c r="BM38" s="288"/>
      <c r="BN38" s="289"/>
      <c r="BO38" s="239"/>
      <c r="BP38" s="290">
        <f t="shared" si="1"/>
        <v>5</v>
      </c>
      <c r="BQ38" s="290">
        <f t="shared" si="2"/>
        <v>8.3333333333333329E-2</v>
      </c>
    </row>
    <row r="39" spans="1:69" ht="25.5">
      <c r="A39" s="259">
        <v>33</v>
      </c>
      <c r="B39" s="259" t="s">
        <v>44</v>
      </c>
      <c r="C39" s="300" t="s">
        <v>313</v>
      </c>
      <c r="D39" s="276" t="s">
        <v>121</v>
      </c>
      <c r="E39" s="259" t="s">
        <v>122</v>
      </c>
      <c r="F39" s="310" t="s">
        <v>292</v>
      </c>
      <c r="G39" s="301" t="s">
        <v>159</v>
      </c>
      <c r="H39" s="312" t="s">
        <v>242</v>
      </c>
      <c r="I39" s="242" t="s">
        <v>123</v>
      </c>
      <c r="J39" s="242" t="s">
        <v>123</v>
      </c>
      <c r="K39" s="242" t="s">
        <v>123</v>
      </c>
      <c r="L39" s="242" t="s">
        <v>123</v>
      </c>
      <c r="M39" s="242" t="s">
        <v>123</v>
      </c>
      <c r="N39" s="242" t="s">
        <v>123</v>
      </c>
      <c r="O39" s="260" t="s">
        <v>123</v>
      </c>
      <c r="P39" s="260" t="s">
        <v>123</v>
      </c>
      <c r="Q39" s="260" t="s">
        <v>124</v>
      </c>
      <c r="R39" s="260" t="s">
        <v>123</v>
      </c>
      <c r="S39" s="260" t="s">
        <v>123</v>
      </c>
      <c r="T39" s="260" t="s">
        <v>123</v>
      </c>
      <c r="U39" s="260" t="s">
        <v>123</v>
      </c>
      <c r="V39" s="260" t="s">
        <v>123</v>
      </c>
      <c r="W39" s="260" t="s">
        <v>123</v>
      </c>
      <c r="X39" s="260" t="s">
        <v>123</v>
      </c>
      <c r="Y39" s="260" t="s">
        <v>123</v>
      </c>
      <c r="Z39" s="260" t="s">
        <v>123</v>
      </c>
      <c r="AA39" s="260" t="s">
        <v>123</v>
      </c>
      <c r="AB39" s="260" t="s">
        <v>123</v>
      </c>
      <c r="AC39" s="260"/>
      <c r="AD39" s="260"/>
      <c r="AE39" s="260"/>
      <c r="AF39" s="260"/>
      <c r="AG39" s="260"/>
      <c r="AH39" s="260"/>
      <c r="AI39" s="260"/>
      <c r="AJ39" s="260"/>
      <c r="AK39" s="260">
        <v>20</v>
      </c>
      <c r="AL39" s="260"/>
      <c r="AM39" s="260"/>
      <c r="AN39" s="260"/>
      <c r="AO39" s="260"/>
      <c r="AP39" s="260"/>
      <c r="AQ39" s="260"/>
      <c r="AR39" s="260"/>
      <c r="AS39" s="260"/>
      <c r="AT39" s="260"/>
      <c r="AU39" s="260"/>
      <c r="AV39" s="260"/>
      <c r="AW39" s="260"/>
      <c r="AX39" s="260"/>
      <c r="AY39" s="260">
        <v>20</v>
      </c>
      <c r="AZ39" s="260"/>
      <c r="BA39" s="260"/>
      <c r="BB39" s="260"/>
      <c r="BC39" s="260"/>
      <c r="BD39" s="260"/>
      <c r="BE39" s="260"/>
      <c r="BF39" s="260"/>
      <c r="BG39" s="260"/>
      <c r="BH39" s="260"/>
      <c r="BI39" s="260"/>
      <c r="BJ39" s="260"/>
      <c r="BK39" s="259"/>
      <c r="BL39" s="288"/>
      <c r="BM39" s="288"/>
      <c r="BN39" s="289"/>
      <c r="BO39" s="239"/>
      <c r="BP39" s="290">
        <f t="shared" si="1"/>
        <v>40</v>
      </c>
      <c r="BQ39" s="290">
        <f t="shared" si="2"/>
        <v>0.66666666666666663</v>
      </c>
    </row>
    <row r="40" spans="1:69" ht="25.5">
      <c r="A40" s="259">
        <v>34</v>
      </c>
      <c r="B40" s="259" t="s">
        <v>11</v>
      </c>
      <c r="C40" s="300" t="s">
        <v>358</v>
      </c>
      <c r="D40" s="276" t="s">
        <v>121</v>
      </c>
      <c r="E40" s="259" t="s">
        <v>122</v>
      </c>
      <c r="F40" s="310" t="s">
        <v>129</v>
      </c>
      <c r="G40" s="301" t="s">
        <v>159</v>
      </c>
      <c r="H40" s="312" t="s">
        <v>327</v>
      </c>
      <c r="I40" s="242"/>
      <c r="J40" s="242"/>
      <c r="K40" s="242"/>
      <c r="L40" s="242" t="s">
        <v>123</v>
      </c>
      <c r="M40" s="242"/>
      <c r="N40" s="242"/>
      <c r="O40" s="260" t="s">
        <v>123</v>
      </c>
      <c r="P40" s="260" t="s">
        <v>123</v>
      </c>
      <c r="Q40" s="260" t="s">
        <v>124</v>
      </c>
      <c r="R40" s="260" t="s">
        <v>123</v>
      </c>
      <c r="S40" s="260" t="s">
        <v>123</v>
      </c>
      <c r="T40" s="260" t="s">
        <v>123</v>
      </c>
      <c r="U40" s="260" t="s">
        <v>123</v>
      </c>
      <c r="V40" s="260" t="s">
        <v>123</v>
      </c>
      <c r="W40" s="260" t="s">
        <v>123</v>
      </c>
      <c r="X40" s="260" t="s">
        <v>123</v>
      </c>
      <c r="Y40" s="260" t="s">
        <v>123</v>
      </c>
      <c r="Z40" s="260" t="s">
        <v>123</v>
      </c>
      <c r="AA40" s="260" t="s">
        <v>123</v>
      </c>
      <c r="AB40" s="260" t="s">
        <v>123</v>
      </c>
      <c r="AC40" s="260"/>
      <c r="AD40" s="260"/>
      <c r="AE40" s="260"/>
      <c r="AF40" s="260"/>
      <c r="AG40" s="260"/>
      <c r="AH40" s="260"/>
      <c r="AI40" s="260"/>
      <c r="AJ40" s="260"/>
      <c r="AK40" s="260">
        <v>15</v>
      </c>
      <c r="AL40" s="260">
        <v>10</v>
      </c>
      <c r="AM40" s="260">
        <v>30</v>
      </c>
      <c r="AN40" s="260">
        <v>30</v>
      </c>
      <c r="AO40" s="260">
        <v>30</v>
      </c>
      <c r="AP40" s="260">
        <v>30</v>
      </c>
      <c r="AQ40" s="260">
        <v>30</v>
      </c>
      <c r="AR40" s="260">
        <v>30</v>
      </c>
      <c r="AS40" s="260">
        <v>20</v>
      </c>
      <c r="AT40" s="260">
        <v>20</v>
      </c>
      <c r="AU40" s="260">
        <v>15</v>
      </c>
      <c r="AV40" s="260">
        <v>15</v>
      </c>
      <c r="AW40" s="260">
        <v>15</v>
      </c>
      <c r="AX40" s="260">
        <v>15</v>
      </c>
      <c r="AY40" s="260">
        <v>30</v>
      </c>
      <c r="AZ40" s="260">
        <v>30</v>
      </c>
      <c r="BA40" s="260">
        <v>30</v>
      </c>
      <c r="BB40" s="260">
        <v>30</v>
      </c>
      <c r="BC40" s="260">
        <v>30</v>
      </c>
      <c r="BD40" s="260">
        <v>30</v>
      </c>
      <c r="BE40" s="260">
        <v>30</v>
      </c>
      <c r="BF40" s="260">
        <v>30</v>
      </c>
      <c r="BG40" s="260">
        <v>30</v>
      </c>
      <c r="BH40" s="260">
        <v>5</v>
      </c>
      <c r="BI40" s="260"/>
      <c r="BJ40" s="260"/>
      <c r="BK40" s="259"/>
      <c r="BL40" s="288"/>
      <c r="BM40" s="288"/>
      <c r="BN40" s="289"/>
      <c r="BO40" s="239"/>
      <c r="BP40" s="290">
        <f t="shared" si="1"/>
        <v>580</v>
      </c>
      <c r="BQ40" s="290">
        <f t="shared" si="2"/>
        <v>9.6666666666666661</v>
      </c>
    </row>
    <row r="41" spans="1:69" ht="25.5">
      <c r="A41" s="259">
        <v>35</v>
      </c>
      <c r="B41" s="259" t="s">
        <v>11</v>
      </c>
      <c r="C41" s="300" t="s">
        <v>357</v>
      </c>
      <c r="D41" s="276" t="s">
        <v>121</v>
      </c>
      <c r="E41" s="259" t="s">
        <v>122</v>
      </c>
      <c r="F41" s="310" t="s">
        <v>292</v>
      </c>
      <c r="G41" s="301" t="s">
        <v>159</v>
      </c>
      <c r="H41" s="312" t="s">
        <v>243</v>
      </c>
      <c r="I41" s="242"/>
      <c r="J41" s="242"/>
      <c r="K41" s="242"/>
      <c r="L41" s="242"/>
      <c r="M41" s="242" t="s">
        <v>123</v>
      </c>
      <c r="N41" s="242"/>
      <c r="O41" s="260" t="s">
        <v>123</v>
      </c>
      <c r="P41" s="260" t="s">
        <v>123</v>
      </c>
      <c r="Q41" s="260" t="s">
        <v>124</v>
      </c>
      <c r="R41" s="260" t="s">
        <v>123</v>
      </c>
      <c r="S41" s="260" t="s">
        <v>123</v>
      </c>
      <c r="T41" s="260" t="s">
        <v>123</v>
      </c>
      <c r="U41" s="260" t="s">
        <v>123</v>
      </c>
      <c r="V41" s="260" t="s">
        <v>123</v>
      </c>
      <c r="W41" s="260" t="s">
        <v>123</v>
      </c>
      <c r="X41" s="260" t="s">
        <v>123</v>
      </c>
      <c r="Y41" s="260" t="s">
        <v>123</v>
      </c>
      <c r="Z41" s="260" t="s">
        <v>123</v>
      </c>
      <c r="AA41" s="260" t="s">
        <v>123</v>
      </c>
      <c r="AB41" s="260" t="s">
        <v>123</v>
      </c>
      <c r="AC41" s="260"/>
      <c r="AD41" s="260"/>
      <c r="AE41" s="260"/>
      <c r="AF41" s="260"/>
      <c r="AG41" s="260"/>
      <c r="AH41" s="260"/>
      <c r="AI41" s="260"/>
      <c r="AJ41" s="260"/>
      <c r="AK41" s="260">
        <v>10</v>
      </c>
      <c r="AL41" s="260">
        <v>10</v>
      </c>
      <c r="AM41" s="260">
        <v>20</v>
      </c>
      <c r="AN41" s="260">
        <v>20</v>
      </c>
      <c r="AO41" s="260">
        <v>30</v>
      </c>
      <c r="AP41" s="260">
        <v>30</v>
      </c>
      <c r="AQ41" s="260">
        <v>15</v>
      </c>
      <c r="AR41" s="260">
        <v>10</v>
      </c>
      <c r="AS41" s="260"/>
      <c r="AT41" s="260"/>
      <c r="AU41" s="260"/>
      <c r="AV41" s="260"/>
      <c r="AW41" s="260">
        <v>15</v>
      </c>
      <c r="AX41" s="260">
        <v>15</v>
      </c>
      <c r="AY41" s="260">
        <v>15</v>
      </c>
      <c r="AZ41" s="260">
        <v>20</v>
      </c>
      <c r="BA41" s="260">
        <v>30</v>
      </c>
      <c r="BB41" s="260">
        <v>30</v>
      </c>
      <c r="BC41" s="260">
        <v>30</v>
      </c>
      <c r="BD41" s="260">
        <v>30</v>
      </c>
      <c r="BE41" s="260">
        <v>10</v>
      </c>
      <c r="BF41" s="260">
        <v>10</v>
      </c>
      <c r="BG41" s="260">
        <v>15</v>
      </c>
      <c r="BH41" s="260"/>
      <c r="BI41" s="260"/>
      <c r="BJ41" s="260"/>
      <c r="BK41" s="259"/>
      <c r="BL41" s="288"/>
      <c r="BM41" s="288"/>
      <c r="BN41" s="289"/>
      <c r="BO41" s="239"/>
      <c r="BP41" s="290">
        <f t="shared" si="1"/>
        <v>365</v>
      </c>
      <c r="BQ41" s="290">
        <f t="shared" si="2"/>
        <v>6.083333333333333</v>
      </c>
    </row>
    <row r="42" spans="1:69" ht="25.5">
      <c r="A42" s="259">
        <v>36</v>
      </c>
      <c r="B42" s="259" t="s">
        <v>347</v>
      </c>
      <c r="C42" s="300" t="s">
        <v>155</v>
      </c>
      <c r="D42" s="276" t="s">
        <v>125</v>
      </c>
      <c r="E42" s="259" t="s">
        <v>122</v>
      </c>
      <c r="F42" s="310" t="s">
        <v>326</v>
      </c>
      <c r="G42" s="301" t="s">
        <v>159</v>
      </c>
      <c r="H42" s="312" t="s">
        <v>328</v>
      </c>
      <c r="I42" s="242"/>
      <c r="J42" s="242"/>
      <c r="K42" s="242" t="s">
        <v>123</v>
      </c>
      <c r="L42" s="242"/>
      <c r="M42" s="242" t="s">
        <v>123</v>
      </c>
      <c r="N42" s="242"/>
      <c r="O42" s="260" t="s">
        <v>123</v>
      </c>
      <c r="P42" s="260" t="s">
        <v>123</v>
      </c>
      <c r="Q42" s="260" t="s">
        <v>124</v>
      </c>
      <c r="R42" s="260" t="s">
        <v>123</v>
      </c>
      <c r="S42" s="260" t="s">
        <v>123</v>
      </c>
      <c r="T42" s="260" t="s">
        <v>123</v>
      </c>
      <c r="U42" s="260" t="s">
        <v>123</v>
      </c>
      <c r="V42" s="260" t="s">
        <v>123</v>
      </c>
      <c r="W42" s="260" t="s">
        <v>123</v>
      </c>
      <c r="X42" s="260" t="s">
        <v>123</v>
      </c>
      <c r="Y42" s="260" t="s">
        <v>123</v>
      </c>
      <c r="Z42" s="260" t="s">
        <v>123</v>
      </c>
      <c r="AA42" s="260" t="s">
        <v>123</v>
      </c>
      <c r="AB42" s="260" t="s">
        <v>123</v>
      </c>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v>10</v>
      </c>
      <c r="BB42" s="260">
        <v>10</v>
      </c>
      <c r="BC42" s="260">
        <v>10</v>
      </c>
      <c r="BD42" s="260">
        <v>10</v>
      </c>
      <c r="BE42" s="260"/>
      <c r="BF42" s="260"/>
      <c r="BG42" s="260"/>
      <c r="BH42" s="260"/>
      <c r="BI42" s="260"/>
      <c r="BJ42" s="260"/>
      <c r="BK42" s="259"/>
      <c r="BL42" s="288"/>
      <c r="BM42" s="288"/>
      <c r="BN42" s="289"/>
      <c r="BO42" s="239"/>
      <c r="BP42" s="290">
        <f t="shared" si="1"/>
        <v>40</v>
      </c>
      <c r="BQ42" s="290">
        <f t="shared" si="2"/>
        <v>0.66666666666666663</v>
      </c>
    </row>
    <row r="43" spans="1:69" ht="45">
      <c r="A43" s="259">
        <v>37</v>
      </c>
      <c r="B43" s="259" t="s">
        <v>347</v>
      </c>
      <c r="C43" s="300" t="s">
        <v>356</v>
      </c>
      <c r="D43" s="276" t="s">
        <v>121</v>
      </c>
      <c r="E43" s="259" t="s">
        <v>122</v>
      </c>
      <c r="F43" s="310" t="s">
        <v>129</v>
      </c>
      <c r="G43" s="301" t="s">
        <v>159</v>
      </c>
      <c r="H43" s="312" t="s">
        <v>244</v>
      </c>
      <c r="I43" s="242"/>
      <c r="J43" s="242"/>
      <c r="K43" s="242"/>
      <c r="L43" s="242"/>
      <c r="M43" s="242"/>
      <c r="N43" s="242" t="s">
        <v>123</v>
      </c>
      <c r="O43" s="260" t="s">
        <v>123</v>
      </c>
      <c r="P43" s="260" t="s">
        <v>123</v>
      </c>
      <c r="Q43" s="260" t="s">
        <v>147</v>
      </c>
      <c r="R43" s="260" t="s">
        <v>123</v>
      </c>
      <c r="S43" s="260" t="s">
        <v>123</v>
      </c>
      <c r="T43" s="260" t="s">
        <v>123</v>
      </c>
      <c r="U43" s="260" t="s">
        <v>123</v>
      </c>
      <c r="V43" s="260" t="s">
        <v>123</v>
      </c>
      <c r="W43" s="260" t="s">
        <v>123</v>
      </c>
      <c r="X43" s="260" t="s">
        <v>123</v>
      </c>
      <c r="Y43" s="260" t="s">
        <v>123</v>
      </c>
      <c r="Z43" s="260" t="s">
        <v>123</v>
      </c>
      <c r="AA43" s="260" t="s">
        <v>123</v>
      </c>
      <c r="AB43" s="260" t="s">
        <v>123</v>
      </c>
      <c r="AC43" s="260"/>
      <c r="AD43" s="260"/>
      <c r="AE43" s="260"/>
      <c r="AF43" s="260"/>
      <c r="AG43" s="260"/>
      <c r="AH43" s="260"/>
      <c r="AI43" s="260"/>
      <c r="AJ43" s="260"/>
      <c r="AK43" s="260"/>
      <c r="AL43" s="260"/>
      <c r="AM43" s="260">
        <v>20</v>
      </c>
      <c r="AN43" s="260">
        <v>30</v>
      </c>
      <c r="AO43" s="260">
        <v>40</v>
      </c>
      <c r="AP43" s="260">
        <v>40</v>
      </c>
      <c r="AQ43" s="260">
        <v>20</v>
      </c>
      <c r="AR43" s="260">
        <v>20</v>
      </c>
      <c r="AS43" s="260"/>
      <c r="AT43" s="260"/>
      <c r="AU43" s="260"/>
      <c r="AV43" s="260"/>
      <c r="AW43" s="260"/>
      <c r="AX43" s="260"/>
      <c r="AY43" s="260">
        <v>20</v>
      </c>
      <c r="AZ43" s="260">
        <v>30</v>
      </c>
      <c r="BA43" s="260">
        <v>60</v>
      </c>
      <c r="BB43" s="260">
        <v>60</v>
      </c>
      <c r="BC43" s="260">
        <v>60</v>
      </c>
      <c r="BD43" s="260">
        <v>60</v>
      </c>
      <c r="BE43" s="260">
        <v>20</v>
      </c>
      <c r="BF43" s="260">
        <v>20</v>
      </c>
      <c r="BG43" s="260"/>
      <c r="BH43" s="260"/>
      <c r="BI43" s="260"/>
      <c r="BJ43" s="260"/>
      <c r="BK43" s="259"/>
      <c r="BL43" s="288"/>
      <c r="BM43" s="288"/>
      <c r="BN43" s="289"/>
      <c r="BO43" s="239"/>
      <c r="BP43" s="290">
        <f t="shared" si="1"/>
        <v>500</v>
      </c>
      <c r="BQ43" s="290">
        <f t="shared" si="2"/>
        <v>8.3333333333333339</v>
      </c>
    </row>
    <row r="44" spans="1:69" ht="22.5">
      <c r="A44" s="259">
        <v>38</v>
      </c>
      <c r="B44" s="259" t="s">
        <v>44</v>
      </c>
      <c r="C44" s="300" t="s">
        <v>157</v>
      </c>
      <c r="D44" s="276" t="s">
        <v>121</v>
      </c>
      <c r="E44" s="259" t="s">
        <v>122</v>
      </c>
      <c r="F44" s="310" t="s">
        <v>292</v>
      </c>
      <c r="G44" s="301" t="s">
        <v>30</v>
      </c>
      <c r="H44" s="312" t="s">
        <v>320</v>
      </c>
      <c r="I44" s="242" t="s">
        <v>123</v>
      </c>
      <c r="J44" s="242" t="s">
        <v>123</v>
      </c>
      <c r="K44" s="242"/>
      <c r="L44" s="242"/>
      <c r="M44" s="242"/>
      <c r="N44" s="242"/>
      <c r="O44" s="260" t="s">
        <v>123</v>
      </c>
      <c r="P44" s="260" t="s">
        <v>123</v>
      </c>
      <c r="Q44" s="260" t="s">
        <v>152</v>
      </c>
      <c r="R44" s="260" t="s">
        <v>123</v>
      </c>
      <c r="S44" s="260" t="s">
        <v>123</v>
      </c>
      <c r="T44" s="260" t="s">
        <v>123</v>
      </c>
      <c r="U44" s="260" t="s">
        <v>123</v>
      </c>
      <c r="V44" s="260" t="s">
        <v>123</v>
      </c>
      <c r="W44" s="260" t="s">
        <v>123</v>
      </c>
      <c r="X44" s="260" t="s">
        <v>123</v>
      </c>
      <c r="Y44" s="260" t="s">
        <v>123</v>
      </c>
      <c r="Z44" s="260" t="s">
        <v>123</v>
      </c>
      <c r="AA44" s="260" t="s">
        <v>123</v>
      </c>
      <c r="AB44" s="260" t="s">
        <v>123</v>
      </c>
      <c r="AC44" s="260"/>
      <c r="AD44" s="260"/>
      <c r="AE44" s="260"/>
      <c r="AF44" s="260"/>
      <c r="AG44" s="260"/>
      <c r="AH44" s="260"/>
      <c r="AI44" s="260"/>
      <c r="AJ44" s="260"/>
      <c r="AK44" s="260"/>
      <c r="AL44" s="260"/>
      <c r="AM44" s="260"/>
      <c r="AN44" s="260"/>
      <c r="AO44" s="260"/>
      <c r="AP44" s="260"/>
      <c r="AQ44" s="260"/>
      <c r="AR44" s="260"/>
      <c r="AS44" s="260"/>
      <c r="AT44" s="260"/>
      <c r="AU44" s="260">
        <v>20</v>
      </c>
      <c r="AV44" s="260"/>
      <c r="AW44" s="260"/>
      <c r="AX44" s="260"/>
      <c r="AY44" s="260"/>
      <c r="AZ44" s="260"/>
      <c r="BA44" s="260"/>
      <c r="BB44" s="260"/>
      <c r="BC44" s="260"/>
      <c r="BD44" s="260"/>
      <c r="BE44" s="260"/>
      <c r="BF44" s="260"/>
      <c r="BG44" s="260"/>
      <c r="BH44" s="260"/>
      <c r="BI44" s="260"/>
      <c r="BJ44" s="260"/>
      <c r="BK44" s="259"/>
      <c r="BL44" s="288"/>
      <c r="BM44" s="288"/>
      <c r="BN44" s="289"/>
      <c r="BO44" s="239"/>
      <c r="BP44" s="290">
        <f t="shared" si="1"/>
        <v>20</v>
      </c>
      <c r="BQ44" s="290">
        <f t="shared" si="2"/>
        <v>0.33333333333333331</v>
      </c>
    </row>
    <row r="45" spans="1:69" ht="56.25">
      <c r="A45" s="259">
        <v>39</v>
      </c>
      <c r="B45" s="338" t="s">
        <v>347</v>
      </c>
      <c r="C45" s="339" t="s">
        <v>151</v>
      </c>
      <c r="D45" s="340" t="s">
        <v>121</v>
      </c>
      <c r="E45" s="338" t="s">
        <v>122</v>
      </c>
      <c r="F45" s="341" t="s">
        <v>292</v>
      </c>
      <c r="G45" s="342" t="s">
        <v>30</v>
      </c>
      <c r="H45" s="343" t="s">
        <v>259</v>
      </c>
      <c r="I45" s="242" t="s">
        <v>123</v>
      </c>
      <c r="J45" s="242" t="s">
        <v>123</v>
      </c>
      <c r="K45" s="242" t="s">
        <v>123</v>
      </c>
      <c r="L45" s="242" t="s">
        <v>123</v>
      </c>
      <c r="M45" s="242" t="s">
        <v>123</v>
      </c>
      <c r="N45" s="242" t="s">
        <v>123</v>
      </c>
      <c r="O45" s="260" t="s">
        <v>123</v>
      </c>
      <c r="P45" s="260" t="s">
        <v>123</v>
      </c>
      <c r="Q45" s="260" t="s">
        <v>124</v>
      </c>
      <c r="R45" s="260" t="s">
        <v>123</v>
      </c>
      <c r="S45" s="260" t="s">
        <v>123</v>
      </c>
      <c r="T45" s="260" t="s">
        <v>123</v>
      </c>
      <c r="U45" s="260" t="s">
        <v>123</v>
      </c>
      <c r="V45" s="260" t="s">
        <v>123</v>
      </c>
      <c r="W45" s="260" t="s">
        <v>123</v>
      </c>
      <c r="X45" s="260" t="s">
        <v>123</v>
      </c>
      <c r="Y45" s="260" t="s">
        <v>123</v>
      </c>
      <c r="Z45" s="260" t="s">
        <v>123</v>
      </c>
      <c r="AA45" s="260" t="s">
        <v>123</v>
      </c>
      <c r="AB45" s="260" t="s">
        <v>123</v>
      </c>
      <c r="AC45" s="260"/>
      <c r="AD45" s="260"/>
      <c r="AE45" s="260"/>
      <c r="AF45" s="260"/>
      <c r="AG45" s="260"/>
      <c r="AH45" s="260"/>
      <c r="AI45" s="260"/>
      <c r="AJ45" s="260"/>
      <c r="AK45" s="260"/>
      <c r="AL45" s="260">
        <v>10</v>
      </c>
      <c r="AM45" s="260"/>
      <c r="AN45" s="260"/>
      <c r="AO45" s="260"/>
      <c r="AP45" s="260"/>
      <c r="AQ45" s="260"/>
      <c r="AR45" s="260"/>
      <c r="AS45" s="260"/>
      <c r="AT45" s="260"/>
      <c r="AU45" s="260"/>
      <c r="AV45" s="260">
        <v>20</v>
      </c>
      <c r="AW45" s="260"/>
      <c r="AX45" s="260"/>
      <c r="AY45" s="260"/>
      <c r="AZ45" s="260"/>
      <c r="BA45" s="260"/>
      <c r="BB45" s="260"/>
      <c r="BC45" s="260"/>
      <c r="BD45" s="260"/>
      <c r="BE45" s="260"/>
      <c r="BF45" s="260"/>
      <c r="BG45" s="260"/>
      <c r="BH45" s="260"/>
      <c r="BI45" s="260"/>
      <c r="BJ45" s="260"/>
      <c r="BK45" s="259"/>
      <c r="BL45" s="288"/>
      <c r="BM45" s="288"/>
      <c r="BN45" s="289"/>
      <c r="BO45" s="239"/>
      <c r="BP45" s="290">
        <f t="shared" si="1"/>
        <v>30</v>
      </c>
      <c r="BQ45" s="290">
        <f t="shared" si="2"/>
        <v>0.5</v>
      </c>
    </row>
    <row r="46" spans="1:69" ht="22.5">
      <c r="A46" s="259">
        <v>40</v>
      </c>
      <c r="B46" s="338" t="s">
        <v>347</v>
      </c>
      <c r="C46" s="339" t="s">
        <v>148</v>
      </c>
      <c r="D46" s="340" t="s">
        <v>143</v>
      </c>
      <c r="E46" s="338" t="s">
        <v>122</v>
      </c>
      <c r="F46" s="341" t="s">
        <v>292</v>
      </c>
      <c r="G46" s="342" t="s">
        <v>30</v>
      </c>
      <c r="H46" s="343" t="s">
        <v>245</v>
      </c>
      <c r="I46" s="242" t="s">
        <v>123</v>
      </c>
      <c r="J46" s="242" t="s">
        <v>123</v>
      </c>
      <c r="K46" s="242" t="s">
        <v>123</v>
      </c>
      <c r="L46" s="242" t="s">
        <v>123</v>
      </c>
      <c r="M46" s="242" t="s">
        <v>123</v>
      </c>
      <c r="N46" s="242" t="s">
        <v>123</v>
      </c>
      <c r="O46" s="260" t="s">
        <v>123</v>
      </c>
      <c r="P46" s="260" t="s">
        <v>123</v>
      </c>
      <c r="Q46" s="260" t="s">
        <v>124</v>
      </c>
      <c r="R46" s="260" t="s">
        <v>123</v>
      </c>
      <c r="S46" s="260" t="s">
        <v>123</v>
      </c>
      <c r="T46" s="260" t="s">
        <v>123</v>
      </c>
      <c r="U46" s="260" t="s">
        <v>123</v>
      </c>
      <c r="V46" s="260" t="s">
        <v>123</v>
      </c>
      <c r="W46" s="260" t="s">
        <v>123</v>
      </c>
      <c r="X46" s="260" t="s">
        <v>123</v>
      </c>
      <c r="Y46" s="260" t="s">
        <v>123</v>
      </c>
      <c r="Z46" s="260" t="s">
        <v>123</v>
      </c>
      <c r="AA46" s="260" t="s">
        <v>123</v>
      </c>
      <c r="AB46" s="260" t="s">
        <v>123</v>
      </c>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60"/>
      <c r="BK46" s="259"/>
      <c r="BL46" s="288"/>
      <c r="BM46" s="288"/>
      <c r="BN46" s="289"/>
      <c r="BO46" s="239"/>
      <c r="BP46" s="290">
        <f t="shared" si="1"/>
        <v>0</v>
      </c>
      <c r="BQ46" s="290">
        <f t="shared" si="2"/>
        <v>0</v>
      </c>
    </row>
    <row r="47" spans="1:69" ht="45">
      <c r="A47" s="259">
        <v>41</v>
      </c>
      <c r="B47" s="338" t="s">
        <v>347</v>
      </c>
      <c r="C47" s="339" t="s">
        <v>149</v>
      </c>
      <c r="D47" s="340" t="s">
        <v>143</v>
      </c>
      <c r="E47" s="338" t="s">
        <v>122</v>
      </c>
      <c r="F47" s="341" t="s">
        <v>292</v>
      </c>
      <c r="G47" s="342" t="s">
        <v>30</v>
      </c>
      <c r="H47" s="343" t="s">
        <v>246</v>
      </c>
      <c r="I47" s="242" t="s">
        <v>123</v>
      </c>
      <c r="J47" s="242" t="s">
        <v>123</v>
      </c>
      <c r="K47" s="242" t="s">
        <v>123</v>
      </c>
      <c r="L47" s="242" t="s">
        <v>123</v>
      </c>
      <c r="M47" s="242" t="s">
        <v>123</v>
      </c>
      <c r="N47" s="242" t="s">
        <v>123</v>
      </c>
      <c r="O47" s="260" t="s">
        <v>123</v>
      </c>
      <c r="P47" s="260" t="s">
        <v>123</v>
      </c>
      <c r="Q47" s="260" t="s">
        <v>150</v>
      </c>
      <c r="R47" s="260" t="s">
        <v>123</v>
      </c>
      <c r="S47" s="260" t="s">
        <v>123</v>
      </c>
      <c r="T47" s="260" t="s">
        <v>123</v>
      </c>
      <c r="U47" s="260" t="s">
        <v>123</v>
      </c>
      <c r="V47" s="260" t="s">
        <v>123</v>
      </c>
      <c r="W47" s="260" t="s">
        <v>123</v>
      </c>
      <c r="X47" s="260" t="s">
        <v>123</v>
      </c>
      <c r="Y47" s="260" t="s">
        <v>123</v>
      </c>
      <c r="Z47" s="260" t="s">
        <v>123</v>
      </c>
      <c r="AA47" s="260" t="s">
        <v>123</v>
      </c>
      <c r="AB47" s="260" t="s">
        <v>123</v>
      </c>
      <c r="AC47" s="260"/>
      <c r="AD47" s="260"/>
      <c r="AE47" s="260"/>
      <c r="AF47" s="260"/>
      <c r="AG47" s="260"/>
      <c r="AH47" s="260"/>
      <c r="AI47" s="260"/>
      <c r="AJ47" s="260"/>
      <c r="AK47" s="260"/>
      <c r="AL47" s="260"/>
      <c r="AM47" s="260">
        <v>30</v>
      </c>
      <c r="AN47" s="260">
        <v>30</v>
      </c>
      <c r="AO47" s="260"/>
      <c r="AP47" s="260"/>
      <c r="AQ47" s="260"/>
      <c r="AR47" s="260"/>
      <c r="AS47" s="260"/>
      <c r="AT47" s="260"/>
      <c r="AU47" s="260"/>
      <c r="AV47" s="260"/>
      <c r="AW47" s="260"/>
      <c r="AX47" s="260"/>
      <c r="AY47" s="260"/>
      <c r="AZ47" s="260"/>
      <c r="BA47" s="260"/>
      <c r="BB47" s="260"/>
      <c r="BC47" s="260"/>
      <c r="BD47" s="260"/>
      <c r="BE47" s="260"/>
      <c r="BF47" s="260"/>
      <c r="BG47" s="260"/>
      <c r="BH47" s="260"/>
      <c r="BI47" s="260"/>
      <c r="BJ47" s="260"/>
      <c r="BK47" s="259"/>
      <c r="BL47" s="288"/>
      <c r="BM47" s="288"/>
      <c r="BN47" s="289"/>
      <c r="BO47" s="239"/>
      <c r="BP47" s="290">
        <f t="shared" si="1"/>
        <v>60</v>
      </c>
      <c r="BQ47" s="290">
        <f t="shared" si="2"/>
        <v>1</v>
      </c>
    </row>
    <row r="48" spans="1:69">
      <c r="A48" s="259">
        <v>42</v>
      </c>
      <c r="B48" s="259" t="s">
        <v>8</v>
      </c>
      <c r="C48" s="300" t="s">
        <v>321</v>
      </c>
      <c r="D48" s="276" t="s">
        <v>125</v>
      </c>
      <c r="E48" s="259" t="s">
        <v>122</v>
      </c>
      <c r="F48" s="310" t="s">
        <v>292</v>
      </c>
      <c r="G48" s="301" t="s">
        <v>160</v>
      </c>
      <c r="H48" s="312" t="s">
        <v>251</v>
      </c>
      <c r="I48" s="242"/>
      <c r="J48" s="242" t="s">
        <v>123</v>
      </c>
      <c r="K48" s="242" t="s">
        <v>123</v>
      </c>
      <c r="L48" s="242"/>
      <c r="M48" s="242"/>
      <c r="N48" s="242" t="s">
        <v>123</v>
      </c>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260">
        <v>30</v>
      </c>
      <c r="BI48" s="260"/>
      <c r="BJ48" s="260"/>
      <c r="BK48" s="259"/>
      <c r="BL48" s="288"/>
      <c r="BM48" s="288"/>
      <c r="BN48" s="289"/>
      <c r="BO48" s="239"/>
      <c r="BP48" s="290">
        <f t="shared" si="1"/>
        <v>30</v>
      </c>
      <c r="BQ48" s="290">
        <f t="shared" si="2"/>
        <v>0.5</v>
      </c>
    </row>
    <row r="49" spans="1:69">
      <c r="A49" s="259">
        <v>43</v>
      </c>
      <c r="B49" s="259" t="s">
        <v>8</v>
      </c>
      <c r="C49" s="300" t="s">
        <v>359</v>
      </c>
      <c r="D49" s="276" t="s">
        <v>125</v>
      </c>
      <c r="E49" s="259" t="s">
        <v>122</v>
      </c>
      <c r="F49" s="310" t="s">
        <v>292</v>
      </c>
      <c r="G49" s="301"/>
      <c r="H49" s="312"/>
      <c r="I49" s="242" t="s">
        <v>123</v>
      </c>
      <c r="J49" s="242" t="s">
        <v>123</v>
      </c>
      <c r="K49" s="242" t="s">
        <v>123</v>
      </c>
      <c r="L49" s="242"/>
      <c r="M49" s="242"/>
      <c r="N49" s="242" t="s">
        <v>123</v>
      </c>
      <c r="O49" s="260" t="s">
        <v>123</v>
      </c>
      <c r="P49" s="260" t="s">
        <v>123</v>
      </c>
      <c r="Q49" s="260" t="s">
        <v>126</v>
      </c>
      <c r="R49" s="260" t="s">
        <v>123</v>
      </c>
      <c r="S49" s="260" t="s">
        <v>123</v>
      </c>
      <c r="T49" s="260" t="s">
        <v>123</v>
      </c>
      <c r="U49" s="260" t="s">
        <v>123</v>
      </c>
      <c r="V49" s="260" t="s">
        <v>123</v>
      </c>
      <c r="W49" s="260" t="s">
        <v>123</v>
      </c>
      <c r="X49" s="260" t="s">
        <v>123</v>
      </c>
      <c r="Y49" s="260" t="s">
        <v>123</v>
      </c>
      <c r="Z49" s="260" t="s">
        <v>123</v>
      </c>
      <c r="AA49" s="260" t="s">
        <v>123</v>
      </c>
      <c r="AB49" s="260" t="s">
        <v>123</v>
      </c>
      <c r="AC49" s="260"/>
      <c r="AD49" s="260"/>
      <c r="AE49" s="260"/>
      <c r="AF49" s="260"/>
      <c r="AG49" s="260"/>
      <c r="AH49" s="260"/>
      <c r="AI49" s="260"/>
      <c r="AJ49" s="260"/>
      <c r="AK49" s="260"/>
      <c r="AL49" s="260"/>
      <c r="AM49" s="260"/>
      <c r="AN49" s="260"/>
      <c r="AO49" s="260"/>
      <c r="AP49" s="260"/>
      <c r="AQ49" s="260"/>
      <c r="AR49" s="260"/>
      <c r="AS49" s="260"/>
      <c r="AT49" s="260"/>
      <c r="AU49" s="260"/>
      <c r="AV49" s="260"/>
      <c r="AW49" s="260"/>
      <c r="AX49" s="260"/>
      <c r="AY49" s="260"/>
      <c r="AZ49" s="260"/>
      <c r="BA49" s="260"/>
      <c r="BB49" s="260"/>
      <c r="BC49" s="260"/>
      <c r="BD49" s="260"/>
      <c r="BE49" s="260"/>
      <c r="BF49" s="260"/>
      <c r="BG49" s="260"/>
      <c r="BH49" s="260"/>
      <c r="BI49" s="260">
        <v>20</v>
      </c>
      <c r="BJ49" s="260"/>
      <c r="BK49" s="259"/>
      <c r="BL49" s="288"/>
      <c r="BM49" s="288"/>
      <c r="BN49" s="289"/>
      <c r="BO49" s="239"/>
      <c r="BP49" s="290">
        <f t="shared" ref="BP49:BP54" si="3">SUM(AC49:BO49)</f>
        <v>20</v>
      </c>
      <c r="BQ49" s="290">
        <f t="shared" si="2"/>
        <v>0.33333333333333331</v>
      </c>
    </row>
    <row r="50" spans="1:69">
      <c r="A50" s="259">
        <v>44</v>
      </c>
      <c r="B50" s="259" t="s">
        <v>8</v>
      </c>
      <c r="C50" s="300" t="s">
        <v>137</v>
      </c>
      <c r="D50" s="276" t="s">
        <v>125</v>
      </c>
      <c r="E50" s="259" t="s">
        <v>122</v>
      </c>
      <c r="F50" s="310" t="s">
        <v>292</v>
      </c>
      <c r="G50" s="301" t="s">
        <v>160</v>
      </c>
      <c r="H50" s="312" t="s">
        <v>247</v>
      </c>
      <c r="I50" s="242"/>
      <c r="J50" s="242" t="s">
        <v>123</v>
      </c>
      <c r="K50" s="242" t="s">
        <v>123</v>
      </c>
      <c r="L50" s="242"/>
      <c r="M50" s="242"/>
      <c r="N50" s="242" t="s">
        <v>123</v>
      </c>
      <c r="O50" s="260" t="s">
        <v>138</v>
      </c>
      <c r="P50" s="260" t="s">
        <v>138</v>
      </c>
      <c r="Q50" s="260" t="s">
        <v>129</v>
      </c>
      <c r="R50" s="260" t="s">
        <v>123</v>
      </c>
      <c r="S50" s="260"/>
      <c r="T50" s="260"/>
      <c r="U50" s="260"/>
      <c r="V50" s="260"/>
      <c r="W50" s="260"/>
      <c r="X50" s="260"/>
      <c r="Y50" s="260" t="s">
        <v>123</v>
      </c>
      <c r="Z50" s="260"/>
      <c r="AA50" s="260"/>
      <c r="AB50" s="260"/>
      <c r="AC50" s="260"/>
      <c r="AD50" s="260"/>
      <c r="AE50" s="260"/>
      <c r="AF50" s="260"/>
      <c r="AG50" s="260"/>
      <c r="AH50" s="260"/>
      <c r="AI50" s="260"/>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260"/>
      <c r="BG50" s="260"/>
      <c r="BH50" s="260"/>
      <c r="BI50" s="260">
        <v>10</v>
      </c>
      <c r="BJ50" s="260"/>
      <c r="BK50" s="259"/>
      <c r="BL50" s="288"/>
      <c r="BM50" s="288"/>
      <c r="BN50" s="289"/>
      <c r="BO50" s="239"/>
      <c r="BP50" s="290">
        <f t="shared" si="3"/>
        <v>10</v>
      </c>
      <c r="BQ50" s="290">
        <f t="shared" si="2"/>
        <v>0.16666666666666666</v>
      </c>
    </row>
    <row r="51" spans="1:69" ht="78.75">
      <c r="A51" s="259">
        <v>45</v>
      </c>
      <c r="B51" s="259" t="s">
        <v>8</v>
      </c>
      <c r="C51" s="300" t="s">
        <v>335</v>
      </c>
      <c r="D51" s="276" t="s">
        <v>125</v>
      </c>
      <c r="E51" s="259" t="s">
        <v>122</v>
      </c>
      <c r="F51" s="310" t="s">
        <v>292</v>
      </c>
      <c r="G51" s="301" t="s">
        <v>160</v>
      </c>
      <c r="H51" s="312" t="s">
        <v>250</v>
      </c>
      <c r="I51" s="242"/>
      <c r="J51" s="242" t="s">
        <v>123</v>
      </c>
      <c r="K51" s="242" t="s">
        <v>123</v>
      </c>
      <c r="L51" s="242"/>
      <c r="M51" s="242"/>
      <c r="N51" s="242" t="s">
        <v>123</v>
      </c>
      <c r="O51" s="260" t="s">
        <v>123</v>
      </c>
      <c r="P51" s="260" t="s">
        <v>123</v>
      </c>
      <c r="Q51" s="260" t="s">
        <v>126</v>
      </c>
      <c r="R51" s="260" t="s">
        <v>123</v>
      </c>
      <c r="S51" s="260" t="s">
        <v>123</v>
      </c>
      <c r="T51" s="260" t="s">
        <v>123</v>
      </c>
      <c r="U51" s="260" t="s">
        <v>123</v>
      </c>
      <c r="V51" s="260" t="s">
        <v>123</v>
      </c>
      <c r="W51" s="260" t="s">
        <v>123</v>
      </c>
      <c r="X51" s="260" t="s">
        <v>123</v>
      </c>
      <c r="Y51" s="260" t="s">
        <v>123</v>
      </c>
      <c r="Z51" s="260" t="s">
        <v>123</v>
      </c>
      <c r="AA51" s="260" t="s">
        <v>123</v>
      </c>
      <c r="AB51" s="260" t="s">
        <v>123</v>
      </c>
      <c r="AC51" s="260"/>
      <c r="AD51" s="260"/>
      <c r="AE51" s="260"/>
      <c r="AF51" s="260"/>
      <c r="AG51" s="260"/>
      <c r="AH51" s="260"/>
      <c r="AI51" s="260"/>
      <c r="AJ51" s="260"/>
      <c r="AK51" s="260"/>
      <c r="AL51" s="260"/>
      <c r="AM51" s="260"/>
      <c r="AN51" s="260"/>
      <c r="AO51" s="260"/>
      <c r="AP51" s="260"/>
      <c r="AQ51" s="260"/>
      <c r="AR51" s="260"/>
      <c r="AS51" s="260"/>
      <c r="AT51" s="260"/>
      <c r="AU51" s="260"/>
      <c r="AV51" s="260"/>
      <c r="AW51" s="260"/>
      <c r="AX51" s="260"/>
      <c r="AY51" s="260"/>
      <c r="AZ51" s="260"/>
      <c r="BA51" s="260"/>
      <c r="BB51" s="260"/>
      <c r="BC51" s="260"/>
      <c r="BD51" s="260"/>
      <c r="BE51" s="260"/>
      <c r="BF51" s="260"/>
      <c r="BG51" s="260"/>
      <c r="BH51" s="260"/>
      <c r="BI51" s="260">
        <v>30</v>
      </c>
      <c r="BJ51" s="260">
        <v>20</v>
      </c>
      <c r="BK51" s="259"/>
      <c r="BL51" s="288"/>
      <c r="BM51" s="288"/>
      <c r="BN51" s="289"/>
      <c r="BO51" s="239"/>
      <c r="BP51" s="290">
        <f t="shared" si="3"/>
        <v>50</v>
      </c>
      <c r="BQ51" s="290">
        <f t="shared" si="2"/>
        <v>0.83333333333333337</v>
      </c>
    </row>
    <row r="52" spans="1:69">
      <c r="A52" s="259">
        <v>46</v>
      </c>
      <c r="B52" s="259" t="s">
        <v>347</v>
      </c>
      <c r="C52" s="300" t="s">
        <v>336</v>
      </c>
      <c r="D52" s="276"/>
      <c r="E52" s="259"/>
      <c r="F52" s="310"/>
      <c r="G52" s="301"/>
      <c r="H52" s="312"/>
      <c r="I52" s="242"/>
      <c r="J52" s="242"/>
      <c r="K52" s="242"/>
      <c r="L52" s="242"/>
      <c r="M52" s="242"/>
      <c r="N52" s="242"/>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c r="AU52" s="260"/>
      <c r="AV52" s="260"/>
      <c r="AW52" s="260"/>
      <c r="AX52" s="260"/>
      <c r="AY52" s="260"/>
      <c r="AZ52" s="260"/>
      <c r="BA52" s="260"/>
      <c r="BB52" s="260"/>
      <c r="BC52" s="260"/>
      <c r="BD52" s="260"/>
      <c r="BE52" s="260"/>
      <c r="BF52" s="260"/>
      <c r="BG52" s="260"/>
      <c r="BH52" s="260"/>
      <c r="BI52" s="260"/>
      <c r="BJ52" s="260"/>
      <c r="BK52" s="259"/>
      <c r="BL52" s="288"/>
      <c r="BM52" s="288"/>
      <c r="BN52" s="289"/>
      <c r="BO52" s="239"/>
      <c r="BP52" s="290">
        <f>SUM(AC52:BO52)</f>
        <v>0</v>
      </c>
      <c r="BQ52" s="290">
        <f t="shared" si="2"/>
        <v>0</v>
      </c>
    </row>
    <row r="53" spans="1:69" ht="25.5">
      <c r="A53" s="259">
        <v>47</v>
      </c>
      <c r="B53" s="259" t="s">
        <v>11</v>
      </c>
      <c r="C53" s="300" t="s">
        <v>145</v>
      </c>
      <c r="D53" s="276" t="s">
        <v>143</v>
      </c>
      <c r="E53" s="259" t="s">
        <v>122</v>
      </c>
      <c r="F53" s="310" t="s">
        <v>292</v>
      </c>
      <c r="G53" s="301" t="s">
        <v>159</v>
      </c>
      <c r="H53" s="312" t="s">
        <v>248</v>
      </c>
      <c r="I53" s="242"/>
      <c r="J53" s="242"/>
      <c r="K53" s="242" t="s">
        <v>123</v>
      </c>
      <c r="L53" s="242" t="s">
        <v>123</v>
      </c>
      <c r="M53" s="242" t="s">
        <v>123</v>
      </c>
      <c r="N53" s="242" t="s">
        <v>123</v>
      </c>
      <c r="O53" s="260" t="s">
        <v>123</v>
      </c>
      <c r="P53" s="260" t="s">
        <v>123</v>
      </c>
      <c r="Q53" s="260" t="s">
        <v>124</v>
      </c>
      <c r="R53" s="260" t="s">
        <v>123</v>
      </c>
      <c r="S53" s="260" t="s">
        <v>123</v>
      </c>
      <c r="T53" s="260" t="s">
        <v>123</v>
      </c>
      <c r="U53" s="260" t="s">
        <v>123</v>
      </c>
      <c r="V53" s="260" t="s">
        <v>123</v>
      </c>
      <c r="W53" s="260" t="s">
        <v>123</v>
      </c>
      <c r="X53" s="260" t="s">
        <v>123</v>
      </c>
      <c r="Y53" s="260" t="s">
        <v>123</v>
      </c>
      <c r="Z53" s="260" t="s">
        <v>123</v>
      </c>
      <c r="AA53" s="260" t="s">
        <v>123</v>
      </c>
      <c r="AB53" s="260" t="s">
        <v>123</v>
      </c>
      <c r="AC53" s="260"/>
      <c r="AD53" s="260"/>
      <c r="AE53" s="260"/>
      <c r="AF53" s="260"/>
      <c r="AG53" s="260"/>
      <c r="AH53" s="260"/>
      <c r="AI53" s="260"/>
      <c r="AJ53" s="260"/>
      <c r="AK53" s="260"/>
      <c r="AL53" s="260"/>
      <c r="AM53" s="260"/>
      <c r="AN53" s="260"/>
      <c r="AO53" s="260"/>
      <c r="AP53" s="260"/>
      <c r="AQ53" s="260">
        <v>10</v>
      </c>
      <c r="AR53" s="260">
        <v>5</v>
      </c>
      <c r="AS53" s="260"/>
      <c r="AT53" s="260"/>
      <c r="AU53" s="260"/>
      <c r="AV53" s="260"/>
      <c r="AW53" s="260"/>
      <c r="AX53" s="260"/>
      <c r="AY53" s="260"/>
      <c r="AZ53" s="260"/>
      <c r="BA53" s="260"/>
      <c r="BB53" s="260"/>
      <c r="BC53" s="260"/>
      <c r="BD53" s="260"/>
      <c r="BE53" s="260"/>
      <c r="BF53" s="260">
        <v>15</v>
      </c>
      <c r="BG53" s="260">
        <v>10</v>
      </c>
      <c r="BH53" s="260"/>
      <c r="BI53" s="260"/>
      <c r="BJ53" s="260"/>
      <c r="BK53" s="259"/>
      <c r="BL53" s="288"/>
      <c r="BM53" s="288"/>
      <c r="BN53" s="289"/>
      <c r="BO53" s="239"/>
      <c r="BP53" s="290">
        <f t="shared" si="3"/>
        <v>40</v>
      </c>
      <c r="BQ53" s="290">
        <f t="shared" si="2"/>
        <v>0.66666666666666663</v>
      </c>
    </row>
    <row r="54" spans="1:69" ht="25.5">
      <c r="A54" s="259">
        <v>48</v>
      </c>
      <c r="B54" s="259" t="s">
        <v>11</v>
      </c>
      <c r="C54" s="300" t="s">
        <v>144</v>
      </c>
      <c r="D54" s="276" t="s">
        <v>143</v>
      </c>
      <c r="E54" s="259" t="s">
        <v>122</v>
      </c>
      <c r="F54" s="310" t="s">
        <v>292</v>
      </c>
      <c r="G54" s="301" t="s">
        <v>159</v>
      </c>
      <c r="H54" s="312" t="s">
        <v>249</v>
      </c>
      <c r="I54" s="242"/>
      <c r="J54" s="242"/>
      <c r="K54" s="242" t="s">
        <v>123</v>
      </c>
      <c r="L54" s="242" t="s">
        <v>123</v>
      </c>
      <c r="M54" s="242" t="s">
        <v>123</v>
      </c>
      <c r="N54" s="242" t="s">
        <v>123</v>
      </c>
      <c r="O54" s="260" t="s">
        <v>123</v>
      </c>
      <c r="P54" s="260" t="s">
        <v>123</v>
      </c>
      <c r="Q54" s="260" t="s">
        <v>124</v>
      </c>
      <c r="R54" s="260" t="s">
        <v>123</v>
      </c>
      <c r="S54" s="260" t="s">
        <v>123</v>
      </c>
      <c r="T54" s="260" t="s">
        <v>123</v>
      </c>
      <c r="U54" s="260" t="s">
        <v>123</v>
      </c>
      <c r="V54" s="260" t="s">
        <v>123</v>
      </c>
      <c r="W54" s="260" t="s">
        <v>123</v>
      </c>
      <c r="X54" s="260" t="s">
        <v>123</v>
      </c>
      <c r="Y54" s="260" t="s">
        <v>123</v>
      </c>
      <c r="Z54" s="260" t="s">
        <v>123</v>
      </c>
      <c r="AA54" s="260" t="s">
        <v>123</v>
      </c>
      <c r="AB54" s="260" t="s">
        <v>123</v>
      </c>
      <c r="AC54" s="260"/>
      <c r="AD54" s="260"/>
      <c r="AE54" s="260"/>
      <c r="AF54" s="260"/>
      <c r="AG54" s="260"/>
      <c r="AH54" s="260"/>
      <c r="AI54" s="260"/>
      <c r="AJ54" s="260"/>
      <c r="AK54" s="260"/>
      <c r="AL54" s="260"/>
      <c r="AM54" s="260"/>
      <c r="AN54" s="260"/>
      <c r="AO54" s="260"/>
      <c r="AP54" s="260"/>
      <c r="AQ54" s="260"/>
      <c r="AR54" s="260"/>
      <c r="AS54" s="260">
        <v>10</v>
      </c>
      <c r="AT54" s="260"/>
      <c r="AU54" s="260"/>
      <c r="AV54" s="260"/>
      <c r="AW54" s="260"/>
      <c r="AX54" s="260"/>
      <c r="AY54" s="260"/>
      <c r="AZ54" s="260"/>
      <c r="BA54" s="260"/>
      <c r="BB54" s="260"/>
      <c r="BC54" s="260"/>
      <c r="BD54" s="260"/>
      <c r="BE54" s="260"/>
      <c r="BF54" s="260"/>
      <c r="BG54" s="260">
        <v>10</v>
      </c>
      <c r="BH54" s="260"/>
      <c r="BI54" s="260"/>
      <c r="BJ54" s="260"/>
      <c r="BK54" s="259"/>
      <c r="BL54" s="288"/>
      <c r="BM54" s="288"/>
      <c r="BN54" s="289"/>
      <c r="BO54" s="239"/>
      <c r="BP54" s="290">
        <f t="shared" si="3"/>
        <v>20</v>
      </c>
      <c r="BQ54" s="290">
        <f t="shared" si="2"/>
        <v>0.33333333333333331</v>
      </c>
    </row>
    <row r="55" spans="1:69" ht="38.25">
      <c r="A55" s="259">
        <v>49</v>
      </c>
      <c r="B55" s="259" t="s">
        <v>11</v>
      </c>
      <c r="C55" s="300" t="s">
        <v>337</v>
      </c>
      <c r="D55" s="276" t="s">
        <v>125</v>
      </c>
      <c r="E55" s="259" t="s">
        <v>122</v>
      </c>
      <c r="F55" s="310" t="s">
        <v>292</v>
      </c>
      <c r="G55" s="301" t="s">
        <v>160</v>
      </c>
      <c r="H55" s="312" t="s">
        <v>252</v>
      </c>
      <c r="I55" s="242"/>
      <c r="J55" s="242" t="s">
        <v>123</v>
      </c>
      <c r="K55" s="242"/>
      <c r="L55" s="242" t="s">
        <v>123</v>
      </c>
      <c r="M55" s="242" t="s">
        <v>123</v>
      </c>
      <c r="N55" s="242"/>
      <c r="O55" s="260" t="s">
        <v>123</v>
      </c>
      <c r="P55" s="260" t="s">
        <v>123</v>
      </c>
      <c r="Q55" s="260" t="s">
        <v>126</v>
      </c>
      <c r="R55" s="260" t="s">
        <v>123</v>
      </c>
      <c r="S55" s="260" t="s">
        <v>123</v>
      </c>
      <c r="T55" s="260" t="s">
        <v>123</v>
      </c>
      <c r="U55" s="260" t="s">
        <v>123</v>
      </c>
      <c r="V55" s="260" t="s">
        <v>123</v>
      </c>
      <c r="W55" s="260" t="s">
        <v>123</v>
      </c>
      <c r="X55" s="260" t="s">
        <v>123</v>
      </c>
      <c r="Y55" s="260" t="s">
        <v>123</v>
      </c>
      <c r="Z55" s="260" t="s">
        <v>123</v>
      </c>
      <c r="AA55" s="260" t="s">
        <v>123</v>
      </c>
      <c r="AB55" s="260" t="s">
        <v>123</v>
      </c>
      <c r="AC55" s="260"/>
      <c r="AD55" s="260"/>
      <c r="AE55" s="260"/>
      <c r="AF55" s="260"/>
      <c r="AG55" s="260"/>
      <c r="AH55" s="260"/>
      <c r="AI55" s="260"/>
      <c r="AJ55" s="260"/>
      <c r="AK55" s="260"/>
      <c r="AL55" s="260"/>
      <c r="AM55" s="260"/>
      <c r="AN55" s="260"/>
      <c r="AO55" s="260"/>
      <c r="AP55" s="260"/>
      <c r="AQ55" s="260"/>
      <c r="AR55" s="260"/>
      <c r="AS55" s="260"/>
      <c r="AT55" s="260"/>
      <c r="AU55" s="260"/>
      <c r="AV55" s="260"/>
      <c r="AW55" s="260"/>
      <c r="AX55" s="260"/>
      <c r="AY55" s="260"/>
      <c r="AZ55" s="260"/>
      <c r="BA55" s="260"/>
      <c r="BB55" s="260"/>
      <c r="BC55" s="260"/>
      <c r="BD55" s="260"/>
      <c r="BE55" s="260"/>
      <c r="BF55" s="260"/>
      <c r="BG55" s="260"/>
      <c r="BH55" s="260">
        <v>15</v>
      </c>
      <c r="BI55" s="260"/>
      <c r="BJ55" s="260"/>
      <c r="BK55" s="259"/>
      <c r="BL55" s="288"/>
      <c r="BM55" s="288"/>
      <c r="BN55" s="289"/>
      <c r="BO55" s="239"/>
      <c r="BP55" s="290">
        <f t="shared" si="1"/>
        <v>15</v>
      </c>
      <c r="BQ55" s="290">
        <f t="shared" si="2"/>
        <v>0.25</v>
      </c>
    </row>
    <row r="56" spans="1:69">
      <c r="A56" s="259">
        <v>50</v>
      </c>
      <c r="B56" s="259" t="s">
        <v>11</v>
      </c>
      <c r="C56" s="300" t="s">
        <v>301</v>
      </c>
      <c r="D56" s="276"/>
      <c r="E56" s="259"/>
      <c r="F56" s="310" t="s">
        <v>292</v>
      </c>
      <c r="G56" s="301"/>
      <c r="H56" s="312"/>
      <c r="I56" s="242"/>
      <c r="J56" s="242" t="s">
        <v>123</v>
      </c>
      <c r="K56" s="242" t="s">
        <v>123</v>
      </c>
      <c r="L56" s="242" t="s">
        <v>123</v>
      </c>
      <c r="M56" s="242" t="s">
        <v>123</v>
      </c>
      <c r="N56" s="242" t="s">
        <v>123</v>
      </c>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260"/>
      <c r="AW56" s="260"/>
      <c r="AX56" s="260"/>
      <c r="AY56" s="260"/>
      <c r="AZ56" s="260"/>
      <c r="BA56" s="260"/>
      <c r="BB56" s="260"/>
      <c r="BC56" s="260"/>
      <c r="BD56" s="260"/>
      <c r="BE56" s="260"/>
      <c r="BF56" s="260"/>
      <c r="BG56" s="260"/>
      <c r="BH56" s="260">
        <v>10</v>
      </c>
      <c r="BI56" s="260"/>
      <c r="BJ56" s="260"/>
      <c r="BK56" s="259"/>
      <c r="BL56" s="288"/>
      <c r="BM56" s="288"/>
      <c r="BN56" s="289"/>
      <c r="BO56" s="239"/>
      <c r="BP56" s="290">
        <f t="shared" si="1"/>
        <v>10</v>
      </c>
      <c r="BQ56" s="290">
        <f t="shared" si="2"/>
        <v>0.16666666666666666</v>
      </c>
    </row>
    <row r="57" spans="1:69">
      <c r="A57" s="259">
        <v>51</v>
      </c>
      <c r="B57" s="259" t="s">
        <v>11</v>
      </c>
      <c r="C57" s="300" t="s">
        <v>342</v>
      </c>
      <c r="D57" s="276" t="s">
        <v>143</v>
      </c>
      <c r="E57" s="259" t="s">
        <v>122</v>
      </c>
      <c r="F57" s="310" t="s">
        <v>292</v>
      </c>
      <c r="G57" s="301" t="s">
        <v>160</v>
      </c>
      <c r="H57" s="312" t="s">
        <v>253</v>
      </c>
      <c r="I57" s="242"/>
      <c r="J57" s="242" t="s">
        <v>123</v>
      </c>
      <c r="K57" s="242"/>
      <c r="L57" s="242" t="s">
        <v>123</v>
      </c>
      <c r="M57" s="242" t="s">
        <v>123</v>
      </c>
      <c r="N57" s="242" t="s">
        <v>123</v>
      </c>
      <c r="O57" s="260" t="s">
        <v>123</v>
      </c>
      <c r="P57" s="260" t="s">
        <v>123</v>
      </c>
      <c r="Q57" s="260" t="s">
        <v>126</v>
      </c>
      <c r="R57" s="260" t="s">
        <v>123</v>
      </c>
      <c r="S57" s="260" t="s">
        <v>123</v>
      </c>
      <c r="T57" s="260" t="s">
        <v>123</v>
      </c>
      <c r="U57" s="260" t="s">
        <v>123</v>
      </c>
      <c r="V57" s="260" t="s">
        <v>123</v>
      </c>
      <c r="W57" s="260" t="s">
        <v>123</v>
      </c>
      <c r="X57" s="260" t="s">
        <v>123</v>
      </c>
      <c r="Y57" s="260" t="s">
        <v>123</v>
      </c>
      <c r="Z57" s="260" t="s">
        <v>123</v>
      </c>
      <c r="AA57" s="260" t="s">
        <v>123</v>
      </c>
      <c r="AB57" s="260" t="s">
        <v>123</v>
      </c>
      <c r="AC57" s="260"/>
      <c r="AD57" s="260"/>
      <c r="AE57" s="260"/>
      <c r="AF57" s="260"/>
      <c r="AG57" s="260"/>
      <c r="AH57" s="260"/>
      <c r="AI57" s="260"/>
      <c r="AJ57" s="260"/>
      <c r="AK57" s="260"/>
      <c r="AL57" s="260"/>
      <c r="AM57" s="260"/>
      <c r="AN57" s="260"/>
      <c r="AO57" s="260"/>
      <c r="AP57" s="260"/>
      <c r="AQ57" s="260"/>
      <c r="AR57" s="260"/>
      <c r="AS57" s="260"/>
      <c r="AT57" s="260"/>
      <c r="AU57" s="260"/>
      <c r="AV57" s="260"/>
      <c r="AW57" s="260"/>
      <c r="AX57" s="260"/>
      <c r="AY57" s="260"/>
      <c r="AZ57" s="260"/>
      <c r="BA57" s="260"/>
      <c r="BB57" s="260"/>
      <c r="BC57" s="260"/>
      <c r="BD57" s="260"/>
      <c r="BE57" s="260"/>
      <c r="BF57" s="260"/>
      <c r="BG57" s="260"/>
      <c r="BH57" s="260"/>
      <c r="BI57" s="260"/>
      <c r="BJ57" s="260"/>
      <c r="BK57" s="259"/>
      <c r="BL57" s="288"/>
      <c r="BM57" s="288"/>
      <c r="BN57" s="289"/>
      <c r="BO57" s="239"/>
      <c r="BP57" s="290">
        <f t="shared" si="1"/>
        <v>0</v>
      </c>
      <c r="BQ57" s="290">
        <f t="shared" si="2"/>
        <v>0</v>
      </c>
    </row>
    <row r="58" spans="1:69" ht="25.5">
      <c r="A58" s="259">
        <v>52</v>
      </c>
      <c r="B58" s="259" t="s">
        <v>347</v>
      </c>
      <c r="C58" s="300" t="s">
        <v>343</v>
      </c>
      <c r="D58" s="276" t="s">
        <v>143</v>
      </c>
      <c r="E58" s="259" t="s">
        <v>122</v>
      </c>
      <c r="F58" s="310" t="s">
        <v>292</v>
      </c>
      <c r="G58" s="301" t="s">
        <v>159</v>
      </c>
      <c r="H58" s="312" t="s">
        <v>256</v>
      </c>
      <c r="I58" s="242" t="s">
        <v>123</v>
      </c>
      <c r="J58" s="242" t="s">
        <v>123</v>
      </c>
      <c r="K58" s="242" t="s">
        <v>123</v>
      </c>
      <c r="L58" s="242" t="s">
        <v>123</v>
      </c>
      <c r="M58" s="242" t="s">
        <v>123</v>
      </c>
      <c r="N58" s="242" t="s">
        <v>123</v>
      </c>
      <c r="O58" s="260" t="s">
        <v>123</v>
      </c>
      <c r="P58" s="260" t="s">
        <v>123</v>
      </c>
      <c r="Q58" s="260" t="s">
        <v>152</v>
      </c>
      <c r="R58" s="260" t="s">
        <v>123</v>
      </c>
      <c r="S58" s="260" t="s">
        <v>123</v>
      </c>
      <c r="T58" s="260" t="s">
        <v>123</v>
      </c>
      <c r="U58" s="260" t="s">
        <v>123</v>
      </c>
      <c r="V58" s="260" t="s">
        <v>123</v>
      </c>
      <c r="W58" s="260" t="s">
        <v>123</v>
      </c>
      <c r="X58" s="260" t="s">
        <v>123</v>
      </c>
      <c r="Y58" s="260" t="s">
        <v>123</v>
      </c>
      <c r="Z58" s="260" t="s">
        <v>123</v>
      </c>
      <c r="AA58" s="260" t="s">
        <v>123</v>
      </c>
      <c r="AB58" s="260" t="s">
        <v>123</v>
      </c>
      <c r="AC58" s="260"/>
      <c r="AD58" s="260"/>
      <c r="AE58" s="260"/>
      <c r="AF58" s="260"/>
      <c r="AG58" s="260"/>
      <c r="AH58" s="260"/>
      <c r="AI58" s="260"/>
      <c r="AJ58" s="260"/>
      <c r="AK58" s="260"/>
      <c r="AL58" s="260">
        <v>30</v>
      </c>
      <c r="AM58" s="260">
        <v>30</v>
      </c>
      <c r="AN58" s="260"/>
      <c r="AO58" s="260"/>
      <c r="AP58" s="260"/>
      <c r="AQ58" s="260"/>
      <c r="AR58" s="260"/>
      <c r="AS58" s="260"/>
      <c r="AT58" s="260"/>
      <c r="AU58" s="260"/>
      <c r="AV58" s="260"/>
      <c r="AW58" s="260"/>
      <c r="AX58" s="260"/>
      <c r="AY58" s="260">
        <v>30</v>
      </c>
      <c r="AZ58" s="260"/>
      <c r="BA58" s="260"/>
      <c r="BB58" s="260"/>
      <c r="BC58" s="260"/>
      <c r="BD58" s="260"/>
      <c r="BE58" s="260"/>
      <c r="BF58" s="260"/>
      <c r="BG58" s="260"/>
      <c r="BH58" s="260"/>
      <c r="BI58" s="260"/>
      <c r="BJ58" s="260"/>
      <c r="BK58" s="259"/>
      <c r="BL58" s="288"/>
      <c r="BM58" s="288"/>
      <c r="BN58" s="289"/>
      <c r="BO58" s="239"/>
      <c r="BP58" s="290">
        <f>SUM(AC58:BO58)</f>
        <v>90</v>
      </c>
      <c r="BQ58" s="290">
        <f t="shared" si="2"/>
        <v>1.5</v>
      </c>
    </row>
    <row r="59" spans="1:69" ht="33.75">
      <c r="A59" s="259">
        <v>53</v>
      </c>
      <c r="B59" s="259" t="s">
        <v>44</v>
      </c>
      <c r="C59" s="300" t="s">
        <v>146</v>
      </c>
      <c r="D59" s="276" t="s">
        <v>121</v>
      </c>
      <c r="E59" s="259" t="s">
        <v>122</v>
      </c>
      <c r="F59" s="310" t="s">
        <v>292</v>
      </c>
      <c r="G59" s="301" t="s">
        <v>160</v>
      </c>
      <c r="H59" s="312" t="s">
        <v>254</v>
      </c>
      <c r="I59" s="242" t="s">
        <v>123</v>
      </c>
      <c r="J59" s="242" t="s">
        <v>123</v>
      </c>
      <c r="K59" s="242"/>
      <c r="L59" s="242" t="s">
        <v>123</v>
      </c>
      <c r="M59" s="242"/>
      <c r="N59" s="242"/>
      <c r="O59" s="260" t="s">
        <v>123</v>
      </c>
      <c r="P59" s="260" t="s">
        <v>123</v>
      </c>
      <c r="Q59" s="260" t="s">
        <v>124</v>
      </c>
      <c r="R59" s="260" t="s">
        <v>123</v>
      </c>
      <c r="S59" s="260" t="s">
        <v>123</v>
      </c>
      <c r="T59" s="260" t="s">
        <v>123</v>
      </c>
      <c r="U59" s="260" t="s">
        <v>123</v>
      </c>
      <c r="V59" s="260" t="s">
        <v>123</v>
      </c>
      <c r="W59" s="260" t="s">
        <v>123</v>
      </c>
      <c r="X59" s="260" t="s">
        <v>123</v>
      </c>
      <c r="Y59" s="260" t="s">
        <v>123</v>
      </c>
      <c r="Z59" s="260" t="s">
        <v>123</v>
      </c>
      <c r="AA59" s="260" t="s">
        <v>123</v>
      </c>
      <c r="AB59" s="260" t="s">
        <v>123</v>
      </c>
      <c r="AC59" s="260"/>
      <c r="AD59" s="260"/>
      <c r="AE59" s="260"/>
      <c r="AF59" s="260"/>
      <c r="AG59" s="260"/>
      <c r="AH59" s="260"/>
      <c r="AI59" s="260"/>
      <c r="AJ59" s="260"/>
      <c r="AK59" s="260"/>
      <c r="AL59" s="260"/>
      <c r="AM59" s="260"/>
      <c r="AN59" s="260"/>
      <c r="AO59" s="260"/>
      <c r="AP59" s="260"/>
      <c r="AQ59" s="260"/>
      <c r="AR59" s="260"/>
      <c r="AS59" s="260"/>
      <c r="AT59" s="260"/>
      <c r="AU59" s="260"/>
      <c r="AV59" s="260"/>
      <c r="AW59" s="260"/>
      <c r="AX59" s="260"/>
      <c r="AY59" s="260"/>
      <c r="AZ59" s="260"/>
      <c r="BA59" s="260"/>
      <c r="BB59" s="260"/>
      <c r="BC59" s="260"/>
      <c r="BD59" s="260"/>
      <c r="BE59" s="260"/>
      <c r="BF59" s="260"/>
      <c r="BG59" s="260"/>
      <c r="BH59" s="260">
        <v>15</v>
      </c>
      <c r="BI59" s="260"/>
      <c r="BJ59" s="260"/>
      <c r="BK59" s="259"/>
      <c r="BL59" s="288"/>
      <c r="BM59" s="288"/>
      <c r="BN59" s="289"/>
      <c r="BO59" s="239"/>
      <c r="BP59" s="290">
        <f t="shared" si="1"/>
        <v>15</v>
      </c>
      <c r="BQ59" s="290">
        <f t="shared" si="2"/>
        <v>0.25</v>
      </c>
    </row>
    <row r="60" spans="1:69" ht="23.45" customHeight="1">
      <c r="A60" s="259">
        <v>54</v>
      </c>
      <c r="B60" s="259" t="s">
        <v>44</v>
      </c>
      <c r="C60" s="300" t="s">
        <v>344</v>
      </c>
      <c r="D60" s="276" t="s">
        <v>121</v>
      </c>
      <c r="E60" s="259" t="s">
        <v>122</v>
      </c>
      <c r="F60" s="310" t="s">
        <v>292</v>
      </c>
      <c r="G60" s="301" t="s">
        <v>160</v>
      </c>
      <c r="H60" s="312" t="s">
        <v>255</v>
      </c>
      <c r="I60" s="242" t="s">
        <v>123</v>
      </c>
      <c r="J60" s="242" t="s">
        <v>123</v>
      </c>
      <c r="K60" s="242"/>
      <c r="L60" s="242"/>
      <c r="M60" s="242"/>
      <c r="N60" s="242"/>
      <c r="O60" s="260" t="s">
        <v>123</v>
      </c>
      <c r="P60" s="260" t="s">
        <v>123</v>
      </c>
      <c r="Q60" s="260" t="s">
        <v>152</v>
      </c>
      <c r="R60" s="260" t="s">
        <v>123</v>
      </c>
      <c r="S60" s="260" t="s">
        <v>123</v>
      </c>
      <c r="T60" s="260" t="s">
        <v>123</v>
      </c>
      <c r="U60" s="260" t="s">
        <v>123</v>
      </c>
      <c r="V60" s="260" t="s">
        <v>123</v>
      </c>
      <c r="W60" s="260" t="s">
        <v>123</v>
      </c>
      <c r="X60" s="260" t="s">
        <v>123</v>
      </c>
      <c r="Y60" s="260" t="s">
        <v>123</v>
      </c>
      <c r="Z60" s="260" t="s">
        <v>123</v>
      </c>
      <c r="AA60" s="260" t="s">
        <v>123</v>
      </c>
      <c r="AB60" s="260" t="s">
        <v>123</v>
      </c>
      <c r="AC60" s="260"/>
      <c r="AD60" s="260"/>
      <c r="AE60" s="260"/>
      <c r="AF60" s="260"/>
      <c r="AG60" s="260"/>
      <c r="AH60" s="260"/>
      <c r="AI60" s="260"/>
      <c r="AJ60" s="260"/>
      <c r="AK60" s="260"/>
      <c r="AL60" s="260"/>
      <c r="AM60" s="260"/>
      <c r="AN60" s="260"/>
      <c r="AO60" s="260"/>
      <c r="AP60" s="260"/>
      <c r="AQ60" s="260"/>
      <c r="AR60" s="260"/>
      <c r="AS60" s="260"/>
      <c r="AT60" s="260"/>
      <c r="AU60" s="260"/>
      <c r="AV60" s="260"/>
      <c r="AW60" s="260"/>
      <c r="AX60" s="260"/>
      <c r="AY60" s="260"/>
      <c r="AZ60" s="260"/>
      <c r="BA60" s="260"/>
      <c r="BB60" s="260"/>
      <c r="BC60" s="260"/>
      <c r="BD60" s="260"/>
      <c r="BE60" s="260"/>
      <c r="BF60" s="260"/>
      <c r="BG60" s="260"/>
      <c r="BH60" s="260"/>
      <c r="BI60" s="260"/>
      <c r="BJ60" s="260">
        <v>15</v>
      </c>
      <c r="BK60" s="259"/>
      <c r="BL60" s="288"/>
      <c r="BM60" s="288"/>
      <c r="BN60" s="289"/>
      <c r="BO60" s="239"/>
      <c r="BP60" s="290">
        <f t="shared" si="1"/>
        <v>15</v>
      </c>
      <c r="BQ60" s="290">
        <f t="shared" si="2"/>
        <v>0.25</v>
      </c>
    </row>
    <row r="61" spans="1:69">
      <c r="A61" s="259">
        <v>55</v>
      </c>
      <c r="B61" s="259" t="s">
        <v>44</v>
      </c>
      <c r="C61" s="300" t="s">
        <v>153</v>
      </c>
      <c r="D61" s="276" t="s">
        <v>121</v>
      </c>
      <c r="E61" s="259" t="s">
        <v>338</v>
      </c>
      <c r="F61" s="310" t="s">
        <v>292</v>
      </c>
      <c r="G61" s="301" t="s">
        <v>28</v>
      </c>
      <c r="H61" s="312" t="s">
        <v>257</v>
      </c>
      <c r="I61" s="242" t="s">
        <v>123</v>
      </c>
      <c r="J61" s="242" t="s">
        <v>123</v>
      </c>
      <c r="K61" s="242"/>
      <c r="L61" s="242"/>
      <c r="M61" s="242"/>
      <c r="N61" s="242"/>
      <c r="O61" s="260" t="s">
        <v>123</v>
      </c>
      <c r="P61" s="260"/>
      <c r="Q61" s="260" t="s">
        <v>129</v>
      </c>
      <c r="R61" s="260" t="s">
        <v>123</v>
      </c>
      <c r="S61" s="260" t="s">
        <v>123</v>
      </c>
      <c r="T61" s="260" t="s">
        <v>123</v>
      </c>
      <c r="U61" s="260" t="s">
        <v>123</v>
      </c>
      <c r="V61" s="260" t="s">
        <v>123</v>
      </c>
      <c r="W61" s="260" t="s">
        <v>123</v>
      </c>
      <c r="X61" s="260"/>
      <c r="Y61" s="260" t="s">
        <v>123</v>
      </c>
      <c r="Z61" s="260" t="s">
        <v>123</v>
      </c>
      <c r="AA61" s="260" t="s">
        <v>123</v>
      </c>
      <c r="AB61" s="260" t="s">
        <v>123</v>
      </c>
      <c r="AC61" s="260"/>
      <c r="AD61" s="260"/>
      <c r="AE61" s="260"/>
      <c r="AF61" s="260"/>
      <c r="AG61" s="260"/>
      <c r="AH61" s="260"/>
      <c r="AI61" s="260"/>
      <c r="AJ61" s="260"/>
      <c r="AK61" s="260"/>
      <c r="AL61" s="260"/>
      <c r="AM61" s="260"/>
      <c r="AN61" s="260"/>
      <c r="AO61" s="260"/>
      <c r="AP61" s="260"/>
      <c r="AQ61" s="260"/>
      <c r="AR61" s="260"/>
      <c r="AS61" s="260"/>
      <c r="AT61" s="260"/>
      <c r="AU61" s="260"/>
      <c r="AV61" s="260">
        <v>5</v>
      </c>
      <c r="AW61" s="260"/>
      <c r="AX61" s="260"/>
      <c r="AY61" s="260"/>
      <c r="AZ61" s="260"/>
      <c r="BA61" s="260"/>
      <c r="BB61" s="260"/>
      <c r="BC61" s="260"/>
      <c r="BD61" s="260"/>
      <c r="BE61" s="260"/>
      <c r="BF61" s="260"/>
      <c r="BG61" s="260"/>
      <c r="BH61" s="260"/>
      <c r="BI61" s="260"/>
      <c r="BJ61" s="260"/>
      <c r="BK61" s="259"/>
      <c r="BL61" s="288"/>
      <c r="BM61" s="288"/>
      <c r="BN61" s="289"/>
      <c r="BO61" s="239"/>
      <c r="BP61" s="290">
        <f t="shared" si="1"/>
        <v>5</v>
      </c>
      <c r="BQ61" s="290">
        <f t="shared" si="2"/>
        <v>8.3333333333333329E-2</v>
      </c>
    </row>
    <row r="62" spans="1:69">
      <c r="A62" s="259">
        <v>56</v>
      </c>
      <c r="B62" s="259" t="s">
        <v>44</v>
      </c>
      <c r="C62" s="300" t="s">
        <v>154</v>
      </c>
      <c r="D62" s="276" t="s">
        <v>121</v>
      </c>
      <c r="E62" s="259" t="s">
        <v>338</v>
      </c>
      <c r="F62" s="310" t="s">
        <v>292</v>
      </c>
      <c r="G62" s="301" t="s">
        <v>28</v>
      </c>
      <c r="H62" s="312" t="s">
        <v>258</v>
      </c>
      <c r="I62" s="242" t="s">
        <v>123</v>
      </c>
      <c r="J62" s="242" t="s">
        <v>123</v>
      </c>
      <c r="K62" s="242" t="s">
        <v>123</v>
      </c>
      <c r="L62" s="242"/>
      <c r="M62" s="242"/>
      <c r="N62" s="242"/>
      <c r="O62" s="260" t="s">
        <v>123</v>
      </c>
      <c r="P62" s="260" t="s">
        <v>123</v>
      </c>
      <c r="Q62" s="260" t="s">
        <v>124</v>
      </c>
      <c r="R62" s="260"/>
      <c r="S62" s="260" t="s">
        <v>123</v>
      </c>
      <c r="T62" s="260"/>
      <c r="U62" s="260"/>
      <c r="V62" s="260"/>
      <c r="W62" s="260"/>
      <c r="X62" s="260" t="s">
        <v>123</v>
      </c>
      <c r="Y62" s="260" t="s">
        <v>123</v>
      </c>
      <c r="Z62" s="260" t="s">
        <v>123</v>
      </c>
      <c r="AA62" s="260" t="s">
        <v>123</v>
      </c>
      <c r="AB62" s="260" t="s">
        <v>123</v>
      </c>
      <c r="AC62" s="260"/>
      <c r="AD62" s="260"/>
      <c r="AE62" s="260"/>
      <c r="AF62" s="260"/>
      <c r="AG62" s="260"/>
      <c r="AH62" s="260">
        <v>10</v>
      </c>
      <c r="AI62" s="260"/>
      <c r="AJ62" s="260"/>
      <c r="AK62" s="260"/>
      <c r="AL62" s="260"/>
      <c r="AM62" s="260"/>
      <c r="AN62" s="260"/>
      <c r="AO62" s="260"/>
      <c r="AP62" s="260"/>
      <c r="AQ62" s="260"/>
      <c r="AR62" s="260"/>
      <c r="AS62" s="260"/>
      <c r="AT62" s="260"/>
      <c r="AU62" s="260"/>
      <c r="AV62" s="260"/>
      <c r="AW62" s="260"/>
      <c r="AX62" s="260"/>
      <c r="AY62" s="260"/>
      <c r="AZ62" s="260"/>
      <c r="BA62" s="260"/>
      <c r="BB62" s="260"/>
      <c r="BC62" s="260"/>
      <c r="BD62" s="260"/>
      <c r="BE62" s="260"/>
      <c r="BF62" s="260"/>
      <c r="BG62" s="260"/>
      <c r="BH62" s="260"/>
      <c r="BI62" s="260"/>
      <c r="BJ62" s="260"/>
      <c r="BK62" s="259"/>
      <c r="BL62" s="288"/>
      <c r="BM62" s="288"/>
      <c r="BN62" s="289"/>
      <c r="BO62" s="239"/>
      <c r="BP62" s="290">
        <f t="shared" si="1"/>
        <v>10</v>
      </c>
      <c r="BQ62" s="290">
        <f t="shared" si="2"/>
        <v>0.16666666666666666</v>
      </c>
    </row>
    <row r="63" spans="1:69" ht="22.5">
      <c r="A63" s="259">
        <v>57</v>
      </c>
      <c r="B63" s="259" t="s">
        <v>44</v>
      </c>
      <c r="C63" s="300" t="s">
        <v>322</v>
      </c>
      <c r="D63" s="276" t="s">
        <v>121</v>
      </c>
      <c r="E63" s="259" t="s">
        <v>122</v>
      </c>
      <c r="F63" s="310" t="s">
        <v>129</v>
      </c>
      <c r="G63" s="301" t="s">
        <v>28</v>
      </c>
      <c r="H63" s="312" t="s">
        <v>329</v>
      </c>
      <c r="I63" s="242" t="s">
        <v>123</v>
      </c>
      <c r="J63" s="242" t="s">
        <v>123</v>
      </c>
      <c r="K63" s="242" t="s">
        <v>123</v>
      </c>
      <c r="L63" s="242" t="s">
        <v>123</v>
      </c>
      <c r="M63" s="242" t="s">
        <v>123</v>
      </c>
      <c r="N63" s="242" t="s">
        <v>123</v>
      </c>
      <c r="O63" s="260" t="s">
        <v>123</v>
      </c>
      <c r="P63" s="260" t="s">
        <v>123</v>
      </c>
      <c r="Q63" s="260" t="s">
        <v>124</v>
      </c>
      <c r="R63" s="260" t="s">
        <v>123</v>
      </c>
      <c r="S63" s="260" t="s">
        <v>123</v>
      </c>
      <c r="T63" s="260" t="s">
        <v>123</v>
      </c>
      <c r="U63" s="260" t="s">
        <v>123</v>
      </c>
      <c r="V63" s="260" t="s">
        <v>123</v>
      </c>
      <c r="W63" s="260" t="s">
        <v>123</v>
      </c>
      <c r="X63" s="260" t="s">
        <v>123</v>
      </c>
      <c r="Y63" s="260" t="s">
        <v>123</v>
      </c>
      <c r="Z63" s="260" t="s">
        <v>123</v>
      </c>
      <c r="AA63" s="260" t="s">
        <v>123</v>
      </c>
      <c r="AB63" s="260" t="s">
        <v>123</v>
      </c>
      <c r="AC63" s="260"/>
      <c r="AD63" s="260"/>
      <c r="AE63" s="260"/>
      <c r="AF63" s="260"/>
      <c r="AG63" s="260"/>
      <c r="AH63" s="260"/>
      <c r="AI63" s="260"/>
      <c r="AJ63" s="260"/>
      <c r="AK63" s="260"/>
      <c r="AL63" s="260"/>
      <c r="AM63" s="260"/>
      <c r="AN63" s="260"/>
      <c r="AO63" s="260"/>
      <c r="AP63" s="260"/>
      <c r="AQ63" s="260"/>
      <c r="AR63" s="260"/>
      <c r="AS63" s="260"/>
      <c r="AT63" s="260"/>
      <c r="AU63" s="260"/>
      <c r="AV63" s="260"/>
      <c r="AW63" s="260"/>
      <c r="AX63" s="260"/>
      <c r="AY63" s="260"/>
      <c r="AZ63" s="260"/>
      <c r="BA63" s="260"/>
      <c r="BB63" s="260"/>
      <c r="BC63" s="260"/>
      <c r="BD63" s="260"/>
      <c r="BE63" s="260"/>
      <c r="BF63" s="260"/>
      <c r="BG63" s="260"/>
      <c r="BH63" s="260"/>
      <c r="BI63" s="260"/>
      <c r="BJ63" s="260">
        <v>10</v>
      </c>
      <c r="BK63" s="259"/>
      <c r="BL63" s="288"/>
      <c r="BM63" s="288"/>
      <c r="BN63" s="289"/>
      <c r="BO63" s="238"/>
      <c r="BP63" s="290">
        <f t="shared" si="1"/>
        <v>10</v>
      </c>
      <c r="BQ63" s="290">
        <f t="shared" si="2"/>
        <v>0.16666666666666666</v>
      </c>
    </row>
    <row r="64" spans="1:69">
      <c r="A64" s="302"/>
      <c r="B64" s="302"/>
      <c r="C64" s="303"/>
      <c r="D64" s="304"/>
      <c r="E64" s="302"/>
      <c r="F64" s="311"/>
      <c r="G64" s="306"/>
      <c r="H64" s="314"/>
      <c r="I64" s="243"/>
      <c r="J64" s="243"/>
      <c r="K64" s="243"/>
      <c r="L64" s="243"/>
      <c r="M64" s="243"/>
      <c r="N64" s="243"/>
      <c r="O64" s="261"/>
      <c r="P64" s="261"/>
      <c r="Q64" s="261"/>
      <c r="R64" s="261"/>
      <c r="S64" s="261"/>
      <c r="T64" s="261"/>
      <c r="U64" s="261"/>
      <c r="V64" s="261"/>
      <c r="W64" s="261"/>
      <c r="X64" s="261"/>
      <c r="Y64" s="261"/>
      <c r="Z64" s="261"/>
      <c r="AA64" s="261"/>
      <c r="AB64" s="261"/>
      <c r="AC64" s="261"/>
      <c r="AD64" s="261"/>
      <c r="AE64" s="261"/>
      <c r="AF64" s="261"/>
      <c r="AG64" s="261"/>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302"/>
      <c r="BL64" s="305"/>
      <c r="BM64" s="305"/>
      <c r="BN64" s="289"/>
      <c r="BO64" s="239"/>
      <c r="BP64" s="290">
        <f t="shared" si="1"/>
        <v>0</v>
      </c>
      <c r="BQ64" s="290">
        <f t="shared" si="2"/>
        <v>0</v>
      </c>
    </row>
    <row r="65" spans="1:69">
      <c r="BO65" s="291"/>
      <c r="BP65" s="290"/>
      <c r="BQ65" s="290"/>
    </row>
    <row r="66" spans="1:69" s="262" customFormat="1">
      <c r="A66" s="278"/>
      <c r="B66" s="278"/>
      <c r="C66" s="278"/>
      <c r="D66" s="278"/>
      <c r="E66" s="278"/>
      <c r="F66" s="292"/>
      <c r="G66" s="264"/>
      <c r="H66" s="278"/>
      <c r="I66" s="293"/>
      <c r="J66" s="293"/>
      <c r="K66" s="293"/>
      <c r="L66" s="293"/>
      <c r="M66" s="293"/>
      <c r="N66" s="293" t="s">
        <v>161</v>
      </c>
      <c r="O66" s="293"/>
      <c r="P66" s="293"/>
      <c r="Q66" s="293"/>
      <c r="R66" s="293"/>
      <c r="S66" s="293"/>
      <c r="T66" s="293"/>
      <c r="U66" s="293"/>
      <c r="V66" s="293"/>
      <c r="W66" s="293"/>
      <c r="X66" s="293"/>
      <c r="Y66" s="293"/>
      <c r="Z66" s="293"/>
      <c r="AA66" s="293"/>
      <c r="AB66" s="293"/>
      <c r="AC66" s="293">
        <f t="shared" ref="AC66:BJ66" si="4">SUM(AC7:AC65)</f>
        <v>0</v>
      </c>
      <c r="AD66" s="293">
        <f t="shared" si="4"/>
        <v>0</v>
      </c>
      <c r="AE66" s="293">
        <f t="shared" si="4"/>
        <v>0</v>
      </c>
      <c r="AF66" s="293">
        <f t="shared" si="4"/>
        <v>0</v>
      </c>
      <c r="AG66" s="293">
        <f t="shared" si="4"/>
        <v>60</v>
      </c>
      <c r="AH66" s="293">
        <f t="shared" si="4"/>
        <v>60</v>
      </c>
      <c r="AI66" s="293">
        <f t="shared" si="4"/>
        <v>120</v>
      </c>
      <c r="AJ66" s="293">
        <f t="shared" si="4"/>
        <v>120</v>
      </c>
      <c r="AK66" s="293">
        <f t="shared" si="4"/>
        <v>120</v>
      </c>
      <c r="AL66" s="293">
        <f t="shared" si="4"/>
        <v>120</v>
      </c>
      <c r="AM66" s="293">
        <f t="shared" si="4"/>
        <v>180</v>
      </c>
      <c r="AN66" s="293">
        <f t="shared" si="4"/>
        <v>180</v>
      </c>
      <c r="AO66" s="293">
        <f t="shared" si="4"/>
        <v>180</v>
      </c>
      <c r="AP66" s="293">
        <f t="shared" si="4"/>
        <v>180</v>
      </c>
      <c r="AQ66" s="293">
        <f t="shared" si="4"/>
        <v>150</v>
      </c>
      <c r="AR66" s="293">
        <f t="shared" si="4"/>
        <v>120</v>
      </c>
      <c r="AS66" s="293">
        <f t="shared" si="4"/>
        <v>85</v>
      </c>
      <c r="AT66" s="293">
        <f t="shared" si="4"/>
        <v>90</v>
      </c>
      <c r="AU66" s="293">
        <f t="shared" si="4"/>
        <v>120</v>
      </c>
      <c r="AV66" s="293">
        <f t="shared" si="4"/>
        <v>120</v>
      </c>
      <c r="AW66" s="293">
        <f t="shared" si="4"/>
        <v>120</v>
      </c>
      <c r="AX66" s="293">
        <f t="shared" si="4"/>
        <v>120</v>
      </c>
      <c r="AY66" s="293">
        <f t="shared" si="4"/>
        <v>180</v>
      </c>
      <c r="AZ66" s="293">
        <f t="shared" si="4"/>
        <v>180</v>
      </c>
      <c r="BA66" s="293">
        <f t="shared" si="4"/>
        <v>235</v>
      </c>
      <c r="BB66" s="293">
        <f t="shared" si="4"/>
        <v>235</v>
      </c>
      <c r="BC66" s="293">
        <f t="shared" si="4"/>
        <v>235</v>
      </c>
      <c r="BD66" s="293">
        <f t="shared" si="4"/>
        <v>235</v>
      </c>
      <c r="BE66" s="293">
        <f t="shared" si="4"/>
        <v>180</v>
      </c>
      <c r="BF66" s="293">
        <f t="shared" si="4"/>
        <v>180</v>
      </c>
      <c r="BG66" s="293">
        <f t="shared" si="4"/>
        <v>115</v>
      </c>
      <c r="BH66" s="293">
        <f t="shared" si="4"/>
        <v>120</v>
      </c>
      <c r="BI66" s="293">
        <f t="shared" si="4"/>
        <v>60</v>
      </c>
      <c r="BJ66" s="293">
        <f t="shared" si="4"/>
        <v>55</v>
      </c>
      <c r="BK66" s="290">
        <f t="shared" ref="BK66:BQ66" si="5">SUM(BK7:BK65)</f>
        <v>0</v>
      </c>
      <c r="BL66" s="290">
        <f t="shared" si="5"/>
        <v>0</v>
      </c>
      <c r="BM66" s="290">
        <f t="shared" si="5"/>
        <v>0</v>
      </c>
      <c r="BN66" s="290">
        <f t="shared" si="5"/>
        <v>0</v>
      </c>
      <c r="BO66" s="290">
        <f t="shared" si="5"/>
        <v>0</v>
      </c>
      <c r="BP66" s="315">
        <f>SUM(BP7:BP65)</f>
        <v>4215</v>
      </c>
      <c r="BQ66" s="315">
        <f t="shared" si="5"/>
        <v>70.250000000000014</v>
      </c>
    </row>
    <row r="67" spans="1:69">
      <c r="BO67" s="294"/>
      <c r="BP67" s="290"/>
      <c r="BQ67" s="290"/>
    </row>
    <row r="68" spans="1:69" s="262" customFormat="1">
      <c r="A68" s="290"/>
      <c r="B68" s="290"/>
      <c r="C68" s="290"/>
      <c r="D68" s="290"/>
      <c r="E68" s="290"/>
      <c r="F68" s="293"/>
      <c r="G68" s="263"/>
      <c r="H68" s="290"/>
      <c r="I68" s="293"/>
      <c r="J68" s="293"/>
      <c r="K68" s="293"/>
      <c r="L68" s="293"/>
      <c r="M68" s="293"/>
      <c r="N68" s="293" t="s">
        <v>162</v>
      </c>
      <c r="O68" s="293"/>
      <c r="P68" s="293"/>
      <c r="Q68" s="293"/>
      <c r="R68" s="293"/>
      <c r="S68" s="293"/>
      <c r="T68" s="293"/>
      <c r="U68" s="293"/>
      <c r="V68" s="293"/>
      <c r="W68" s="293"/>
      <c r="X68" s="293"/>
      <c r="Y68" s="293"/>
      <c r="Z68" s="293"/>
      <c r="AA68" s="293"/>
      <c r="AB68" s="293"/>
      <c r="AC68" s="293"/>
      <c r="AD68" s="293"/>
      <c r="AE68" s="293"/>
      <c r="AF68" s="293"/>
      <c r="AG68" s="293">
        <f>AG66/30</f>
        <v>2</v>
      </c>
      <c r="AH68" s="293">
        <f t="shared" ref="AH68:BM68" si="6">AH66/30</f>
        <v>2</v>
      </c>
      <c r="AI68" s="293">
        <f>AI66/30</f>
        <v>4</v>
      </c>
      <c r="AJ68" s="293">
        <f t="shared" si="6"/>
        <v>4</v>
      </c>
      <c r="AK68" s="293">
        <f t="shared" si="6"/>
        <v>4</v>
      </c>
      <c r="AL68" s="293">
        <f t="shared" si="6"/>
        <v>4</v>
      </c>
      <c r="AM68" s="293">
        <f t="shared" si="6"/>
        <v>6</v>
      </c>
      <c r="AN68" s="293">
        <f t="shared" si="6"/>
        <v>6</v>
      </c>
      <c r="AO68" s="293">
        <f t="shared" si="6"/>
        <v>6</v>
      </c>
      <c r="AP68" s="293">
        <f t="shared" si="6"/>
        <v>6</v>
      </c>
      <c r="AQ68" s="293">
        <f t="shared" si="6"/>
        <v>5</v>
      </c>
      <c r="AR68" s="293">
        <f t="shared" si="6"/>
        <v>4</v>
      </c>
      <c r="AS68" s="293">
        <f t="shared" si="6"/>
        <v>2.8333333333333335</v>
      </c>
      <c r="AT68" s="293">
        <f t="shared" si="6"/>
        <v>3</v>
      </c>
      <c r="AU68" s="293">
        <f t="shared" si="6"/>
        <v>4</v>
      </c>
      <c r="AV68" s="293">
        <f t="shared" si="6"/>
        <v>4</v>
      </c>
      <c r="AW68" s="293">
        <f t="shared" si="6"/>
        <v>4</v>
      </c>
      <c r="AX68" s="293">
        <f t="shared" si="6"/>
        <v>4</v>
      </c>
      <c r="AY68" s="293">
        <f t="shared" si="6"/>
        <v>6</v>
      </c>
      <c r="AZ68" s="293">
        <f t="shared" si="6"/>
        <v>6</v>
      </c>
      <c r="BA68" s="293">
        <f t="shared" si="6"/>
        <v>7.833333333333333</v>
      </c>
      <c r="BB68" s="293">
        <f t="shared" si="6"/>
        <v>7.833333333333333</v>
      </c>
      <c r="BC68" s="293">
        <f t="shared" si="6"/>
        <v>7.833333333333333</v>
      </c>
      <c r="BD68" s="293">
        <f t="shared" si="6"/>
        <v>7.833333333333333</v>
      </c>
      <c r="BE68" s="293">
        <f t="shared" si="6"/>
        <v>6</v>
      </c>
      <c r="BF68" s="293">
        <f t="shared" si="6"/>
        <v>6</v>
      </c>
      <c r="BG68" s="293">
        <f t="shared" si="6"/>
        <v>3.8333333333333335</v>
      </c>
      <c r="BH68" s="293">
        <f t="shared" si="6"/>
        <v>4</v>
      </c>
      <c r="BI68" s="293">
        <f t="shared" si="6"/>
        <v>2</v>
      </c>
      <c r="BJ68" s="293">
        <f>BJ66/30</f>
        <v>1.8333333333333333</v>
      </c>
      <c r="BK68" s="290">
        <f t="shared" si="6"/>
        <v>0</v>
      </c>
      <c r="BL68" s="290">
        <f t="shared" si="6"/>
        <v>0</v>
      </c>
      <c r="BM68" s="290">
        <f t="shared" si="6"/>
        <v>0</v>
      </c>
      <c r="BN68" s="290"/>
      <c r="BO68" s="290"/>
      <c r="BP68" s="290"/>
      <c r="BQ68" s="290"/>
    </row>
    <row r="69" spans="1:69">
      <c r="A69" s="327"/>
      <c r="B69" s="327"/>
      <c r="C69" s="327"/>
      <c r="D69" s="327"/>
      <c r="E69" s="327"/>
      <c r="F69" s="328"/>
      <c r="G69" s="251"/>
      <c r="H69" s="327"/>
      <c r="I69" s="328"/>
      <c r="J69" s="328"/>
      <c r="K69" s="328"/>
      <c r="L69" s="328"/>
      <c r="M69" s="328"/>
      <c r="N69" s="328"/>
      <c r="O69" s="328"/>
      <c r="P69" s="328"/>
      <c r="Q69" s="328"/>
      <c r="R69" s="328"/>
      <c r="S69" s="328"/>
      <c r="T69" s="328"/>
      <c r="U69" s="328"/>
      <c r="V69" s="328"/>
      <c r="W69" s="328"/>
      <c r="X69" s="328"/>
      <c r="Y69" s="328"/>
      <c r="Z69" s="328"/>
      <c r="AA69" s="328"/>
      <c r="AB69" s="328"/>
      <c r="AC69" s="328"/>
      <c r="AD69" s="328"/>
      <c r="AE69" s="328"/>
      <c r="AF69" s="328" t="s">
        <v>360</v>
      </c>
      <c r="AG69" s="328">
        <f>'Base Line COL'!O5</f>
        <v>2</v>
      </c>
      <c r="AH69" s="328">
        <f>'Base Line COL'!P5</f>
        <v>2</v>
      </c>
      <c r="AI69" s="328">
        <f>'Base Line COL'!Q5</f>
        <v>4</v>
      </c>
      <c r="AJ69" s="328">
        <f>'Base Line COL'!R5</f>
        <v>4</v>
      </c>
      <c r="AK69" s="328">
        <f>'Base Line COL'!S5</f>
        <v>4</v>
      </c>
      <c r="AL69" s="328">
        <f>'Base Line COL'!T5</f>
        <v>4</v>
      </c>
      <c r="AM69" s="328">
        <f>'Base Line COL'!U5</f>
        <v>5</v>
      </c>
      <c r="AN69" s="328">
        <f>'Base Line COL'!V5</f>
        <v>5</v>
      </c>
      <c r="AO69" s="328">
        <f>'Base Line COL'!W5</f>
        <v>6</v>
      </c>
      <c r="AP69" s="328">
        <f>'Base Line COL'!X5</f>
        <v>6</v>
      </c>
      <c r="AQ69" s="328">
        <f>'Base Line COL'!Y5</f>
        <v>4</v>
      </c>
      <c r="AR69" s="328">
        <f>'Base Line COL'!Z5</f>
        <v>4</v>
      </c>
      <c r="AS69" s="328">
        <f>'Base Line COL'!AA5</f>
        <v>3</v>
      </c>
      <c r="AT69" s="328">
        <f>'Base Line COL'!AB5</f>
        <v>3</v>
      </c>
      <c r="AU69" s="328">
        <f>'Base Line COL'!AC5</f>
        <v>4</v>
      </c>
      <c r="AV69" s="328">
        <f>'Base Line COL'!AD5</f>
        <v>4</v>
      </c>
      <c r="AW69" s="328">
        <f>'Base Line COL'!AE5</f>
        <v>4</v>
      </c>
      <c r="AX69" s="328">
        <f>'Base Line COL'!AF5</f>
        <v>4</v>
      </c>
      <c r="AY69" s="328">
        <f>'Base Line COL'!AG5</f>
        <v>6</v>
      </c>
      <c r="AZ69" s="328">
        <f>'Base Line COL'!AH5</f>
        <v>6</v>
      </c>
      <c r="BA69" s="328">
        <f>'Base Line COL'!AI5</f>
        <v>8</v>
      </c>
      <c r="BB69" s="328">
        <f>'Base Line COL'!AJ5</f>
        <v>8</v>
      </c>
      <c r="BC69" s="328">
        <f>'Base Line COL'!AK5</f>
        <v>8</v>
      </c>
      <c r="BD69" s="328">
        <f>'Base Line COL'!AL5</f>
        <v>8</v>
      </c>
      <c r="BE69" s="328">
        <f>'Base Line COL'!AM5</f>
        <v>6</v>
      </c>
      <c r="BF69" s="328">
        <f>'Base Line COL'!AN5</f>
        <v>6</v>
      </c>
      <c r="BG69" s="328">
        <f>'Base Line COL'!AO5</f>
        <v>4</v>
      </c>
      <c r="BH69" s="328">
        <f>'Base Line COL'!AP5</f>
        <v>4</v>
      </c>
      <c r="BI69" s="328">
        <f>'Base Line COL'!AQ5</f>
        <v>2</v>
      </c>
      <c r="BJ69" s="328">
        <f>'Base Line COL'!AR5</f>
        <v>2</v>
      </c>
      <c r="BK69" s="328">
        <f>'Base Line COL'!AS5</f>
        <v>0</v>
      </c>
      <c r="BL69" s="328">
        <f>'Base Line COL'!AT5</f>
        <v>0</v>
      </c>
      <c r="BM69" s="328">
        <f>'Base Line COL'!AU5</f>
        <v>0</v>
      </c>
      <c r="BN69" s="328">
        <f>'Base Line COL'!AV5</f>
        <v>0</v>
      </c>
      <c r="BO69" s="328">
        <f>'Base Line COL'!AW5</f>
        <v>0</v>
      </c>
    </row>
    <row r="70" spans="1:69">
      <c r="AG70" s="344"/>
      <c r="AH70" s="344"/>
      <c r="AI70" s="344"/>
      <c r="AJ70" s="344"/>
      <c r="AK70" s="344"/>
      <c r="AL70" s="344"/>
      <c r="AM70" s="344"/>
      <c r="AN70" s="344"/>
      <c r="AO70" s="344"/>
      <c r="AP70" s="344"/>
      <c r="AQ70" s="344"/>
      <c r="AR70" s="344"/>
      <c r="AS70" s="344"/>
      <c r="AT70" s="344"/>
      <c r="AU70" s="344"/>
      <c r="AV70" s="344"/>
      <c r="AW70" s="344"/>
      <c r="AX70" s="344"/>
      <c r="AY70" s="344"/>
      <c r="AZ70" s="344"/>
      <c r="BA70" s="344"/>
      <c r="BB70" s="344"/>
      <c r="BC70" s="344"/>
      <c r="BD70" s="344"/>
      <c r="BE70" s="344"/>
      <c r="BF70" s="344"/>
      <c r="BG70" s="344"/>
      <c r="BH70" s="344"/>
      <c r="BI70" s="344"/>
      <c r="BJ70" s="344"/>
      <c r="BK70" s="344"/>
      <c r="BP70" s="345"/>
    </row>
  </sheetData>
  <autoFilter ref="A6:BO6"/>
  <conditionalFormatting sqref="AC67:BM67 BE42:BJ42 AC7:BM8 AZ41:BN41 AL29:AY29 AC34:BN34 AC15:BM15 AC10:BM12 AC18:BM18 AZ27:BM29 AC27:AK29 AC21:BM25 AC37:BM39 AC57:BM57 AC64:BM65 AL27:BE27 BP7:BQ8 BP10:BQ15 AC45:BM45 AZ43:BM45 AC41:AY45 BP55:BQ57 AC55:BM55 AC47:BM48 BP33:BQ34 AC59:BM61 BP59:BQ65 BP36:BQ48 BP17:BQ18 BP20:BQ31 BP67:BQ68 AC68:BO69 AC70:BM65536">
    <cfRule type="cellIs" dxfId="165" priority="306" operator="equal">
      <formula>"x"</formula>
    </cfRule>
  </conditionalFormatting>
  <conditionalFormatting sqref="BL57:BM57 AC25:AL25 BK25:BM25 BK27:BM27 AC27:AL27">
    <cfRule type="cellIs" dxfId="164" priority="304" operator="equal">
      <formula>"x"</formula>
    </cfRule>
  </conditionalFormatting>
  <conditionalFormatting sqref="AC28:AK28 BI28:BM28">
    <cfRule type="cellIs" dxfId="163" priority="282" operator="equal">
      <formula>"x"</formula>
    </cfRule>
  </conditionalFormatting>
  <conditionalFormatting sqref="AC12:AH12 AO12:BL12 AO15:BL15 AC15:AH15">
    <cfRule type="cellIs" dxfId="162" priority="293" operator="equal">
      <formula>"x"</formula>
    </cfRule>
  </conditionalFormatting>
  <conditionalFormatting sqref="AC28:AK28 BI28 BL28:BM28">
    <cfRule type="cellIs" dxfId="161" priority="281" operator="equal">
      <formula>"x"</formula>
    </cfRule>
  </conditionalFormatting>
  <conditionalFormatting sqref="BI28">
    <cfRule type="cellIs" dxfId="160" priority="280" operator="equal">
      <formula>"x"</formula>
    </cfRule>
  </conditionalFormatting>
  <conditionalFormatting sqref="BJ28:BK28">
    <cfRule type="cellIs" dxfId="159" priority="279" operator="equal">
      <formula>"x"</formula>
    </cfRule>
  </conditionalFormatting>
  <conditionalFormatting sqref="AC38:BM38 BK42:BM42">
    <cfRule type="cellIs" dxfId="158" priority="276" operator="equal">
      <formula>"x"</formula>
    </cfRule>
  </conditionalFormatting>
  <conditionalFormatting sqref="AN42:AS42 AV42:AW42 BE42:BH42">
    <cfRule type="cellIs" dxfId="157" priority="275" operator="equal">
      <formula>"x"</formula>
    </cfRule>
  </conditionalFormatting>
  <conditionalFormatting sqref="AN41:AS41 AV41:AW41 AZ41 BE41:BH41">
    <cfRule type="cellIs" dxfId="156" priority="274" operator="equal">
      <formula>"x"</formula>
    </cfRule>
  </conditionalFormatting>
  <conditionalFormatting sqref="BL37:BM37">
    <cfRule type="cellIs" dxfId="155" priority="266" operator="equal">
      <formula>"x"</formula>
    </cfRule>
  </conditionalFormatting>
  <conditionalFormatting sqref="BL37:BM37">
    <cfRule type="cellIs" dxfId="154" priority="265" operator="equal">
      <formula>"x"</formula>
    </cfRule>
  </conditionalFormatting>
  <conditionalFormatting sqref="AC57:BH57 BJ57:BK57">
    <cfRule type="cellIs" dxfId="153" priority="255" operator="equal">
      <formula>"x"</formula>
    </cfRule>
  </conditionalFormatting>
  <conditionalFormatting sqref="BK43:BM43 AC43:AL43">
    <cfRule type="cellIs" dxfId="152" priority="249" operator="equal">
      <formula>"x"</formula>
    </cfRule>
  </conditionalFormatting>
  <conditionalFormatting sqref="AM43:AT43 AV43:BJ43">
    <cfRule type="cellIs" dxfId="151" priority="248" operator="equal">
      <formula>"x"</formula>
    </cfRule>
  </conditionalFormatting>
  <conditionalFormatting sqref="AN43:AT43 AV43:BI43">
    <cfRule type="cellIs" dxfId="150" priority="247" operator="equal">
      <formula>"x"</formula>
    </cfRule>
  </conditionalFormatting>
  <conditionalFormatting sqref="AC29:AL29 BK29:BM29">
    <cfRule type="cellIs" dxfId="149" priority="245" operator="equal">
      <formula>"x"</formula>
    </cfRule>
  </conditionalFormatting>
  <conditionalFormatting sqref="AL24:BM24">
    <cfRule type="cellIs" dxfId="148" priority="230" operator="equal">
      <formula>"x"</formula>
    </cfRule>
  </conditionalFormatting>
  <conditionalFormatting sqref="AS29:AZ29 BG29:BJ29">
    <cfRule type="cellIs" dxfId="147" priority="217" operator="equal">
      <formula>"x"</formula>
    </cfRule>
  </conditionalFormatting>
  <conditionalFormatting sqref="AC66:BQ66">
    <cfRule type="cellIs" dxfId="146" priority="216" operator="equal">
      <formula>"x"</formula>
    </cfRule>
  </conditionalFormatting>
  <conditionalFormatting sqref="AM39">
    <cfRule type="cellIs" dxfId="145" priority="207" operator="equal">
      <formula>"x"</formula>
    </cfRule>
  </conditionalFormatting>
  <conditionalFormatting sqref="AL39">
    <cfRule type="cellIs" dxfId="144" priority="209" operator="equal">
      <formula>"x"</formula>
    </cfRule>
  </conditionalFormatting>
  <conditionalFormatting sqref="AZ39">
    <cfRule type="cellIs" dxfId="143" priority="208" operator="equal">
      <formula>"x"</formula>
    </cfRule>
  </conditionalFormatting>
  <conditionalFormatting sqref="AC39:AK39 BA39:BM39 AN39:AY39">
    <cfRule type="cellIs" dxfId="142" priority="210" operator="equal">
      <formula>"x"</formula>
    </cfRule>
  </conditionalFormatting>
  <conditionalFormatting sqref="AR28:AY28 BE42:BM42">
    <cfRule type="cellIs" dxfId="141" priority="205" operator="equal">
      <formula>"x"</formula>
    </cfRule>
  </conditionalFormatting>
  <conditionalFormatting sqref="AC44:BM44">
    <cfRule type="cellIs" dxfId="140" priority="184" operator="equal">
      <formula>"x"</formula>
    </cfRule>
  </conditionalFormatting>
  <conditionalFormatting sqref="AM22">
    <cfRule type="cellIs" dxfId="139" priority="178" operator="equal">
      <formula>"x"</formula>
    </cfRule>
  </conditionalFormatting>
  <conditionalFormatting sqref="AL22">
    <cfRule type="cellIs" dxfId="138" priority="180" operator="equal">
      <formula>"x"</formula>
    </cfRule>
  </conditionalFormatting>
  <conditionalFormatting sqref="AZ22">
    <cfRule type="cellIs" dxfId="137" priority="179" operator="equal">
      <formula>"x"</formula>
    </cfRule>
  </conditionalFormatting>
  <conditionalFormatting sqref="AC22:AK22 AN22:AY22 BA22:BM22">
    <cfRule type="cellIs" dxfId="136" priority="181" operator="equal">
      <formula>"x"</formula>
    </cfRule>
  </conditionalFormatting>
  <conditionalFormatting sqref="AM23">
    <cfRule type="cellIs" dxfId="135" priority="173" operator="equal">
      <formula>"x"</formula>
    </cfRule>
  </conditionalFormatting>
  <conditionalFormatting sqref="AL23">
    <cfRule type="cellIs" dxfId="134" priority="175" operator="equal">
      <formula>"x"</formula>
    </cfRule>
  </conditionalFormatting>
  <conditionalFormatting sqref="AZ23">
    <cfRule type="cellIs" dxfId="133" priority="174" operator="equal">
      <formula>"x"</formula>
    </cfRule>
  </conditionalFormatting>
  <conditionalFormatting sqref="AC23:AK23 AN23:AY23 BA23:BM23">
    <cfRule type="cellIs" dxfId="132" priority="176" operator="equal">
      <formula>"x"</formula>
    </cfRule>
  </conditionalFormatting>
  <conditionalFormatting sqref="AM25:AR25 AW25:BE25 BI25:BJ25 BI27:BJ27">
    <cfRule type="cellIs" dxfId="131" priority="172" operator="equal">
      <formula>"x"</formula>
    </cfRule>
  </conditionalFormatting>
  <conditionalFormatting sqref="AK37">
    <cfRule type="cellIs" dxfId="130" priority="170" operator="equal">
      <formula>"x"</formula>
    </cfRule>
  </conditionalFormatting>
  <conditionalFormatting sqref="AJ37">
    <cfRule type="cellIs" dxfId="129" priority="169" operator="equal">
      <formula>"x"</formula>
    </cfRule>
  </conditionalFormatting>
  <conditionalFormatting sqref="AM27:BE27">
    <cfRule type="cellIs" dxfId="128" priority="168" operator="equal">
      <formula>"x"</formula>
    </cfRule>
  </conditionalFormatting>
  <conditionalFormatting sqref="AR28 AW28:BE28">
    <cfRule type="cellIs" dxfId="127" priority="167" operator="equal">
      <formula>"x"</formula>
    </cfRule>
  </conditionalFormatting>
  <conditionalFormatting sqref="AR28 AW28:BE28">
    <cfRule type="cellIs" dxfId="126" priority="166" operator="equal">
      <formula>"x"</formula>
    </cfRule>
  </conditionalFormatting>
  <conditionalFormatting sqref="AS25:AV25">
    <cfRule type="cellIs" dxfId="125" priority="165" operator="equal">
      <formula>"x"</formula>
    </cfRule>
  </conditionalFormatting>
  <conditionalFormatting sqref="AS27:AV27">
    <cfRule type="cellIs" dxfId="124" priority="164" operator="equal">
      <formula>"x"</formula>
    </cfRule>
  </conditionalFormatting>
  <conditionalFormatting sqref="AS28:AV28">
    <cfRule type="cellIs" dxfId="123" priority="163" operator="equal">
      <formula>"x"</formula>
    </cfRule>
  </conditionalFormatting>
  <conditionalFormatting sqref="AS28:AV28">
    <cfRule type="cellIs" dxfId="122" priority="162" operator="equal">
      <formula>"x"</formula>
    </cfRule>
  </conditionalFormatting>
  <conditionalFormatting sqref="BF25:BH25">
    <cfRule type="cellIs" dxfId="121" priority="161" operator="equal">
      <formula>"x"</formula>
    </cfRule>
  </conditionalFormatting>
  <conditionalFormatting sqref="BF27:BH27">
    <cfRule type="cellIs" dxfId="120" priority="160" operator="equal">
      <formula>"x"</formula>
    </cfRule>
  </conditionalFormatting>
  <conditionalFormatting sqref="BF28:BH28">
    <cfRule type="cellIs" dxfId="119" priority="159" operator="equal">
      <formula>"x"</formula>
    </cfRule>
  </conditionalFormatting>
  <conditionalFormatting sqref="BF28:BH28">
    <cfRule type="cellIs" dxfId="118" priority="158" operator="equal">
      <formula>"x"</formula>
    </cfRule>
  </conditionalFormatting>
  <conditionalFormatting sqref="AT41:AT42">
    <cfRule type="cellIs" dxfId="117" priority="157" operator="equal">
      <formula>"x"</formula>
    </cfRule>
  </conditionalFormatting>
  <conditionalFormatting sqref="AT42">
    <cfRule type="cellIs" dxfId="116" priority="156" operator="equal">
      <formula>"x"</formula>
    </cfRule>
  </conditionalFormatting>
  <conditionalFormatting sqref="AT41">
    <cfRule type="cellIs" dxfId="115" priority="155" operator="equal">
      <formula>"x"</formula>
    </cfRule>
  </conditionalFormatting>
  <conditionalFormatting sqref="AU41:AU42">
    <cfRule type="cellIs" dxfId="114" priority="153" operator="equal">
      <formula>"x"</formula>
    </cfRule>
  </conditionalFormatting>
  <conditionalFormatting sqref="AU42">
    <cfRule type="cellIs" dxfId="113" priority="152" operator="equal">
      <formula>"x"</formula>
    </cfRule>
  </conditionalFormatting>
  <conditionalFormatting sqref="AU41">
    <cfRule type="cellIs" dxfId="112" priority="151" operator="equal">
      <formula>"x"</formula>
    </cfRule>
  </conditionalFormatting>
  <conditionalFormatting sqref="AX41:AX42">
    <cfRule type="cellIs" dxfId="111" priority="149" operator="equal">
      <formula>"x"</formula>
    </cfRule>
  </conditionalFormatting>
  <conditionalFormatting sqref="AX42">
    <cfRule type="cellIs" dxfId="110" priority="148" operator="equal">
      <formula>"x"</formula>
    </cfRule>
  </conditionalFormatting>
  <conditionalFormatting sqref="AX41">
    <cfRule type="cellIs" dxfId="109" priority="147" operator="equal">
      <formula>"x"</formula>
    </cfRule>
  </conditionalFormatting>
  <conditionalFormatting sqref="AY41:AY42">
    <cfRule type="cellIs" dxfId="108" priority="146" operator="equal">
      <formula>"x"</formula>
    </cfRule>
  </conditionalFormatting>
  <conditionalFormatting sqref="AY42">
    <cfRule type="cellIs" dxfId="107" priority="145" operator="equal">
      <formula>"x"</formula>
    </cfRule>
  </conditionalFormatting>
  <conditionalFormatting sqref="AY41">
    <cfRule type="cellIs" dxfId="106" priority="144" operator="equal">
      <formula>"x"</formula>
    </cfRule>
  </conditionalFormatting>
  <conditionalFormatting sqref="BA41">
    <cfRule type="cellIs" dxfId="105" priority="143" operator="equal">
      <formula>"x"</formula>
    </cfRule>
  </conditionalFormatting>
  <conditionalFormatting sqref="BA41">
    <cfRule type="cellIs" dxfId="104" priority="141" operator="equal">
      <formula>"x"</formula>
    </cfRule>
  </conditionalFormatting>
  <conditionalFormatting sqref="BB41">
    <cfRule type="cellIs" dxfId="103" priority="139" operator="equal">
      <formula>"x"</formula>
    </cfRule>
  </conditionalFormatting>
  <conditionalFormatting sqref="BB41">
    <cfRule type="cellIs" dxfId="102" priority="137" operator="equal">
      <formula>"x"</formula>
    </cfRule>
  </conditionalFormatting>
  <conditionalFormatting sqref="BC41">
    <cfRule type="cellIs" dxfId="101" priority="135" operator="equal">
      <formula>"x"</formula>
    </cfRule>
  </conditionalFormatting>
  <conditionalFormatting sqref="BC41">
    <cfRule type="cellIs" dxfId="100" priority="133" operator="equal">
      <formula>"x"</formula>
    </cfRule>
  </conditionalFormatting>
  <conditionalFormatting sqref="BD41">
    <cfRule type="cellIs" dxfId="99" priority="131" operator="equal">
      <formula>"x"</formula>
    </cfRule>
  </conditionalFormatting>
  <conditionalFormatting sqref="BD41">
    <cfRule type="cellIs" dxfId="98" priority="129" operator="equal">
      <formula>"x"</formula>
    </cfRule>
  </conditionalFormatting>
  <conditionalFormatting sqref="AU43">
    <cfRule type="cellIs" dxfId="97" priority="126" operator="equal">
      <formula>"x"</formula>
    </cfRule>
  </conditionalFormatting>
  <conditionalFormatting sqref="AU43">
    <cfRule type="cellIs" dxfId="96" priority="125" operator="equal">
      <formula>"x"</formula>
    </cfRule>
  </conditionalFormatting>
  <conditionalFormatting sqref="AM29:AR29">
    <cfRule type="cellIs" dxfId="95" priority="123" operator="equal">
      <formula>"x"</formula>
    </cfRule>
  </conditionalFormatting>
  <conditionalFormatting sqref="AC60:BM60">
    <cfRule type="cellIs" dxfId="94" priority="110" operator="equal">
      <formula>"x"</formula>
    </cfRule>
  </conditionalFormatting>
  <conditionalFormatting sqref="BI57">
    <cfRule type="cellIs" dxfId="93" priority="109" operator="equal">
      <formula>"x"</formula>
    </cfRule>
  </conditionalFormatting>
  <conditionalFormatting sqref="BA29:BF29">
    <cfRule type="cellIs" dxfId="92" priority="107" operator="equal">
      <formula>"x"</formula>
    </cfRule>
  </conditionalFormatting>
  <conditionalFormatting sqref="AX37">
    <cfRule type="cellIs" dxfId="91" priority="106" operator="equal">
      <formula>"x"</formula>
    </cfRule>
  </conditionalFormatting>
  <conditionalFormatting sqref="AL28:AQ28">
    <cfRule type="cellIs" dxfId="90" priority="105" operator="equal">
      <formula>"x"</formula>
    </cfRule>
  </conditionalFormatting>
  <conditionalFormatting sqref="AL28:AQ28">
    <cfRule type="cellIs" dxfId="89" priority="104" operator="equal">
      <formula>"x"</formula>
    </cfRule>
  </conditionalFormatting>
  <conditionalFormatting sqref="AL28:AQ28">
    <cfRule type="cellIs" dxfId="88" priority="103" operator="equal">
      <formula>"x"</formula>
    </cfRule>
  </conditionalFormatting>
  <conditionalFormatting sqref="AZ42:BD42">
    <cfRule type="cellIs" dxfId="87" priority="102" operator="equal">
      <formula>"x"</formula>
    </cfRule>
  </conditionalFormatting>
  <conditionalFormatting sqref="AZ42:BD42">
    <cfRule type="cellIs" dxfId="86" priority="101" operator="equal">
      <formula>"x"</formula>
    </cfRule>
  </conditionalFormatting>
  <conditionalFormatting sqref="AZ42:BD42">
    <cfRule type="cellIs" dxfId="85" priority="100" operator="equal">
      <formula>"x"</formula>
    </cfRule>
  </conditionalFormatting>
  <conditionalFormatting sqref="AC20:BM20">
    <cfRule type="cellIs" dxfId="84" priority="96" operator="equal">
      <formula>"x"</formula>
    </cfRule>
  </conditionalFormatting>
  <conditionalFormatting sqref="AC33:BN33">
    <cfRule type="cellIs" dxfId="83" priority="90" operator="equal">
      <formula>"x"</formula>
    </cfRule>
  </conditionalFormatting>
  <conditionalFormatting sqref="AC33:BM33">
    <cfRule type="cellIs" dxfId="82" priority="89" operator="equal">
      <formula>"x"</formula>
    </cfRule>
  </conditionalFormatting>
  <conditionalFormatting sqref="AC40:BN40">
    <cfRule type="cellIs" dxfId="81" priority="88" operator="equal">
      <formula>"x"</formula>
    </cfRule>
  </conditionalFormatting>
  <conditionalFormatting sqref="BI40:BJ40">
    <cfRule type="cellIs" dxfId="80" priority="87" operator="equal">
      <formula>"x"</formula>
    </cfRule>
  </conditionalFormatting>
  <conditionalFormatting sqref="AL40 AV40:AZ40 BG40:BH40 AS40">
    <cfRule type="cellIs" dxfId="79" priority="86" operator="equal">
      <formula>"x"</formula>
    </cfRule>
  </conditionalFormatting>
  <conditionalFormatting sqref="AT40">
    <cfRule type="cellIs" dxfId="78" priority="85" operator="equal">
      <formula>"x"</formula>
    </cfRule>
  </conditionalFormatting>
  <conditionalFormatting sqref="AU40">
    <cfRule type="cellIs" dxfId="77" priority="84" operator="equal">
      <formula>"x"</formula>
    </cfRule>
  </conditionalFormatting>
  <conditionalFormatting sqref="AM40:AR40">
    <cfRule type="cellIs" dxfId="76" priority="83" operator="equal">
      <formula>"x"</formula>
    </cfRule>
  </conditionalFormatting>
  <conditionalFormatting sqref="BA40:BF40">
    <cfRule type="cellIs" dxfId="75" priority="82" operator="equal">
      <formula>"x"</formula>
    </cfRule>
  </conditionalFormatting>
  <conditionalFormatting sqref="AC17:BM17">
    <cfRule type="cellIs" dxfId="74" priority="81" operator="equal">
      <formula>"x"</formula>
    </cfRule>
  </conditionalFormatting>
  <conditionalFormatting sqref="AC13:BM13">
    <cfRule type="cellIs" dxfId="73" priority="80" operator="equal">
      <formula>"x"</formula>
    </cfRule>
  </conditionalFormatting>
  <conditionalFormatting sqref="AO13:BL13 AC13:AH13">
    <cfRule type="cellIs" dxfId="72" priority="79" operator="equal">
      <formula>"x"</formula>
    </cfRule>
  </conditionalFormatting>
  <conditionalFormatting sqref="AC14:BM14">
    <cfRule type="cellIs" dxfId="71" priority="78" operator="equal">
      <formula>"x"</formula>
    </cfRule>
  </conditionalFormatting>
  <conditionalFormatting sqref="AO14:BL14 AC14:AH14">
    <cfRule type="cellIs" dxfId="70" priority="77" operator="equal">
      <formula>"x"</formula>
    </cfRule>
  </conditionalFormatting>
  <conditionalFormatting sqref="AZ26:BM26 AC26:AK26">
    <cfRule type="cellIs" dxfId="69" priority="76" operator="equal">
      <formula>"x"</formula>
    </cfRule>
  </conditionalFormatting>
  <conditionalFormatting sqref="AC26:AK26 BI26:BM26">
    <cfRule type="cellIs" dxfId="68" priority="75" operator="equal">
      <formula>"x"</formula>
    </cfRule>
  </conditionalFormatting>
  <conditionalFormatting sqref="AC26:AK26 BI26 BL26:BM26">
    <cfRule type="cellIs" dxfId="67" priority="74" operator="equal">
      <formula>"x"</formula>
    </cfRule>
  </conditionalFormatting>
  <conditionalFormatting sqref="BI26">
    <cfRule type="cellIs" dxfId="66" priority="73" operator="equal">
      <formula>"x"</formula>
    </cfRule>
  </conditionalFormatting>
  <conditionalFormatting sqref="BJ26:BK26">
    <cfRule type="cellIs" dxfId="65" priority="72" operator="equal">
      <formula>"x"</formula>
    </cfRule>
  </conditionalFormatting>
  <conditionalFormatting sqref="AR26:AY26">
    <cfRule type="cellIs" dxfId="64" priority="71" operator="equal">
      <formula>"x"</formula>
    </cfRule>
  </conditionalFormatting>
  <conditionalFormatting sqref="AR26 AW26:BE26">
    <cfRule type="cellIs" dxfId="63" priority="70" operator="equal">
      <formula>"x"</formula>
    </cfRule>
  </conditionalFormatting>
  <conditionalFormatting sqref="AR26 AW26:BE26">
    <cfRule type="cellIs" dxfId="62" priority="69" operator="equal">
      <formula>"x"</formula>
    </cfRule>
  </conditionalFormatting>
  <conditionalFormatting sqref="AS26:AV26">
    <cfRule type="cellIs" dxfId="61" priority="68" operator="equal">
      <formula>"x"</formula>
    </cfRule>
  </conditionalFormatting>
  <conditionalFormatting sqref="AS26:AV26">
    <cfRule type="cellIs" dxfId="60" priority="67" operator="equal">
      <formula>"x"</formula>
    </cfRule>
  </conditionalFormatting>
  <conditionalFormatting sqref="BF26:BH26">
    <cfRule type="cellIs" dxfId="59" priority="66" operator="equal">
      <formula>"x"</formula>
    </cfRule>
  </conditionalFormatting>
  <conditionalFormatting sqref="BF26:BH26">
    <cfRule type="cellIs" dxfId="58" priority="65" operator="equal">
      <formula>"x"</formula>
    </cfRule>
  </conditionalFormatting>
  <conditionalFormatting sqref="AL26:AQ26">
    <cfRule type="cellIs" dxfId="57" priority="64" operator="equal">
      <formula>"x"</formula>
    </cfRule>
  </conditionalFormatting>
  <conditionalFormatting sqref="AL26:AQ26">
    <cfRule type="cellIs" dxfId="56" priority="63" operator="equal">
      <formula>"x"</formula>
    </cfRule>
  </conditionalFormatting>
  <conditionalFormatting sqref="AL26:AQ26">
    <cfRule type="cellIs" dxfId="55" priority="62" operator="equal">
      <formula>"x"</formula>
    </cfRule>
  </conditionalFormatting>
  <conditionalFormatting sqref="AC36:BM36">
    <cfRule type="cellIs" dxfId="54" priority="59" operator="equal">
      <formula>"x"</formula>
    </cfRule>
  </conditionalFormatting>
  <conditionalFormatting sqref="BL36:BM36">
    <cfRule type="cellIs" dxfId="53" priority="58" operator="equal">
      <formula>"x"</formula>
    </cfRule>
  </conditionalFormatting>
  <conditionalFormatting sqref="BL36:BM36">
    <cfRule type="cellIs" dxfId="52" priority="57" operator="equal">
      <formula>"x"</formula>
    </cfRule>
  </conditionalFormatting>
  <conditionalFormatting sqref="AK36">
    <cfRule type="cellIs" dxfId="51" priority="56" operator="equal">
      <formula>"x"</formula>
    </cfRule>
  </conditionalFormatting>
  <conditionalFormatting sqref="AJ36">
    <cfRule type="cellIs" dxfId="50" priority="55" operator="equal">
      <formula>"x"</formula>
    </cfRule>
  </conditionalFormatting>
  <conditionalFormatting sqref="AX36">
    <cfRule type="cellIs" dxfId="49" priority="54" operator="equal">
      <formula>"x"</formula>
    </cfRule>
  </conditionalFormatting>
  <conditionalFormatting sqref="AC30:BM31">
    <cfRule type="cellIs" dxfId="48" priority="53" operator="equal">
      <formula>"x"</formula>
    </cfRule>
  </conditionalFormatting>
  <conditionalFormatting sqref="AI30:AT31 AV30:AV31">
    <cfRule type="cellIs" dxfId="47" priority="52" operator="equal">
      <formula>"x"</formula>
    </cfRule>
  </conditionalFormatting>
  <conditionalFormatting sqref="AC30:AH31 BJ30:BL31">
    <cfRule type="cellIs" dxfId="46" priority="51" operator="equal">
      <formula>"x"</formula>
    </cfRule>
  </conditionalFormatting>
  <conditionalFormatting sqref="AW30:BI31">
    <cfRule type="cellIs" dxfId="45" priority="50" operator="equal">
      <formula>"x"</formula>
    </cfRule>
  </conditionalFormatting>
  <conditionalFormatting sqref="AU30:AU31">
    <cfRule type="cellIs" dxfId="44" priority="49" operator="equal">
      <formula>"x"</formula>
    </cfRule>
  </conditionalFormatting>
  <conditionalFormatting sqref="AC46:BM46">
    <cfRule type="cellIs" dxfId="43" priority="48" operator="equal">
      <formula>"x"</formula>
    </cfRule>
  </conditionalFormatting>
  <conditionalFormatting sqref="AC56:BM56">
    <cfRule type="cellIs" dxfId="42" priority="47" operator="equal">
      <formula>"x"</formula>
    </cfRule>
  </conditionalFormatting>
  <conditionalFormatting sqref="AC63:BM63">
    <cfRule type="cellIs" dxfId="41" priority="44" operator="equal">
      <formula>"x"</formula>
    </cfRule>
  </conditionalFormatting>
  <conditionalFormatting sqref="AC62:BM62">
    <cfRule type="cellIs" dxfId="40" priority="43" operator="equal">
      <formula>"x"</formula>
    </cfRule>
  </conditionalFormatting>
  <conditionalFormatting sqref="AC9:BM9 BP9:BQ9">
    <cfRule type="cellIs" dxfId="39" priority="42" operator="equal">
      <formula>"x"</formula>
    </cfRule>
  </conditionalFormatting>
  <conditionalFormatting sqref="F7:F13 F55:F57 F33 F59:F64 F36:F44 F20:F28 F48">
    <cfRule type="containsText" dxfId="38" priority="41" stopIfTrue="1" operator="containsText" text="Fixed">
      <formula>NOT(ISERROR(SEARCH("Fixed",F7)))</formula>
    </cfRule>
  </conditionalFormatting>
  <conditionalFormatting sqref="AC32:BM32 BP32:BQ32">
    <cfRule type="cellIs" dxfId="37" priority="40" operator="equal">
      <formula>"x"</formula>
    </cfRule>
  </conditionalFormatting>
  <conditionalFormatting sqref="F32">
    <cfRule type="containsText" dxfId="36" priority="39" stopIfTrue="1" operator="containsText" text="Fixed">
      <formula>NOT(ISERROR(SEARCH("Fixed",F32)))</formula>
    </cfRule>
  </conditionalFormatting>
  <conditionalFormatting sqref="AC49:BM50 BP49:BQ50 BP53:BQ54 AC53:BM54">
    <cfRule type="cellIs" dxfId="35" priority="38" operator="equal">
      <formula>"x"</formula>
    </cfRule>
  </conditionalFormatting>
  <conditionalFormatting sqref="BL53:BM53">
    <cfRule type="cellIs" dxfId="34" priority="37" operator="equal">
      <formula>"x"</formula>
    </cfRule>
  </conditionalFormatting>
  <conditionalFormatting sqref="AC54:BM54">
    <cfRule type="cellIs" dxfId="33" priority="36" operator="equal">
      <formula>"x"</formula>
    </cfRule>
  </conditionalFormatting>
  <conditionalFormatting sqref="AU54">
    <cfRule type="cellIs" dxfId="32" priority="35" operator="equal">
      <formula>"x"</formula>
    </cfRule>
  </conditionalFormatting>
  <conditionalFormatting sqref="AU54">
    <cfRule type="cellIs" dxfId="31" priority="34" operator="equal">
      <formula>"x"</formula>
    </cfRule>
  </conditionalFormatting>
  <conditionalFormatting sqref="BG54">
    <cfRule type="cellIs" dxfId="30" priority="33" operator="equal">
      <formula>"x"</formula>
    </cfRule>
  </conditionalFormatting>
  <conditionalFormatting sqref="BG54">
    <cfRule type="cellIs" dxfId="29" priority="32" operator="equal">
      <formula>"x"</formula>
    </cfRule>
  </conditionalFormatting>
  <conditionalFormatting sqref="BA54">
    <cfRule type="cellIs" dxfId="28" priority="31" operator="equal">
      <formula>"x"</formula>
    </cfRule>
  </conditionalFormatting>
  <conditionalFormatting sqref="BA54">
    <cfRule type="cellIs" dxfId="27" priority="30" operator="equal">
      <formula>"x"</formula>
    </cfRule>
  </conditionalFormatting>
  <conditionalFormatting sqref="F49:F50 F53:F54">
    <cfRule type="containsText" dxfId="26" priority="29" stopIfTrue="1" operator="containsText" text="Fixed">
      <formula>NOT(ISERROR(SEARCH("Fixed",F49)))</formula>
    </cfRule>
  </conditionalFormatting>
  <conditionalFormatting sqref="AC51:BM51 BP51:BQ51">
    <cfRule type="cellIs" dxfId="25" priority="28" operator="equal">
      <formula>"x"</formula>
    </cfRule>
  </conditionalFormatting>
  <conditionalFormatting sqref="F51">
    <cfRule type="containsText" dxfId="24" priority="27" stopIfTrue="1" operator="containsText" text="Fixed">
      <formula>NOT(ISERROR(SEARCH("Fixed",F51)))</formula>
    </cfRule>
  </conditionalFormatting>
  <conditionalFormatting sqref="AC52:BM52 BP52:BQ52">
    <cfRule type="cellIs" dxfId="23" priority="26" operator="equal">
      <formula>"x"</formula>
    </cfRule>
  </conditionalFormatting>
  <conditionalFormatting sqref="F52">
    <cfRule type="containsText" dxfId="22" priority="25" stopIfTrue="1" operator="containsText" text="Fixed">
      <formula>NOT(ISERROR(SEARCH("Fixed",F52)))</formula>
    </cfRule>
  </conditionalFormatting>
  <conditionalFormatting sqref="BP58:BQ58">
    <cfRule type="cellIs" dxfId="21" priority="24" operator="equal">
      <formula>"x"</formula>
    </cfRule>
  </conditionalFormatting>
  <conditionalFormatting sqref="AC58:BM58">
    <cfRule type="cellIs" dxfId="20" priority="23" operator="equal">
      <formula>"x"</formula>
    </cfRule>
  </conditionalFormatting>
  <conditionalFormatting sqref="AC58:BM58">
    <cfRule type="cellIs" dxfId="19" priority="22" operator="equal">
      <formula>"x"</formula>
    </cfRule>
  </conditionalFormatting>
  <conditionalFormatting sqref="F58">
    <cfRule type="containsText" dxfId="18" priority="21" stopIfTrue="1" operator="containsText" text="Fixed">
      <formula>NOT(ISERROR(SEARCH("Fixed",F58)))</formula>
    </cfRule>
  </conditionalFormatting>
  <conditionalFormatting sqref="BP35:BQ35">
    <cfRule type="cellIs" dxfId="17" priority="20" operator="equal">
      <formula>"x"</formula>
    </cfRule>
  </conditionalFormatting>
  <conditionalFormatting sqref="AC35:BN35">
    <cfRule type="cellIs" dxfId="16" priority="19" operator="equal">
      <formula>"x"</formula>
    </cfRule>
  </conditionalFormatting>
  <conditionalFormatting sqref="AC35:BM35">
    <cfRule type="cellIs" dxfId="15" priority="18" operator="equal">
      <formula>"x"</formula>
    </cfRule>
  </conditionalFormatting>
  <conditionalFormatting sqref="F35">
    <cfRule type="containsText" dxfId="14" priority="17" stopIfTrue="1" operator="containsText" text="Fixed">
      <formula>NOT(ISERROR(SEARCH("Fixed",F35)))</formula>
    </cfRule>
  </conditionalFormatting>
  <conditionalFormatting sqref="AC16:BM16 BP16:BQ16">
    <cfRule type="cellIs" dxfId="13" priority="16" operator="equal">
      <formula>"x"</formula>
    </cfRule>
  </conditionalFormatting>
  <conditionalFormatting sqref="AO16:BL16 AC16:AH16">
    <cfRule type="cellIs" dxfId="12" priority="15" operator="equal">
      <formula>"x"</formula>
    </cfRule>
  </conditionalFormatting>
  <conditionalFormatting sqref="AC19:BM19 BP19:BQ19">
    <cfRule type="cellIs" dxfId="11" priority="13" operator="equal">
      <formula>"x"</formula>
    </cfRule>
  </conditionalFormatting>
  <conditionalFormatting sqref="AO19:BL19 AC19:AH19">
    <cfRule type="cellIs" dxfId="10" priority="12" operator="equal">
      <formula>"x"</formula>
    </cfRule>
  </conditionalFormatting>
  <conditionalFormatting sqref="F19">
    <cfRule type="containsText" dxfId="9" priority="11" stopIfTrue="1" operator="containsText" text="Fixed">
      <formula>NOT(ISERROR(SEARCH("Fixed",F19)))</formula>
    </cfRule>
  </conditionalFormatting>
  <conditionalFormatting sqref="F14:F18">
    <cfRule type="containsText" dxfId="8" priority="10" stopIfTrue="1" operator="containsText" text="Fixed">
      <formula>NOT(ISERROR(SEARCH("Fixed",F14)))</formula>
    </cfRule>
  </conditionalFormatting>
  <conditionalFormatting sqref="F29">
    <cfRule type="containsText" dxfId="7" priority="9" stopIfTrue="1" operator="containsText" text="Fixed">
      <formula>NOT(ISERROR(SEARCH("Fixed",F29)))</formula>
    </cfRule>
  </conditionalFormatting>
  <conditionalFormatting sqref="F30">
    <cfRule type="containsText" dxfId="6" priority="8" stopIfTrue="1" operator="containsText" text="Fixed">
      <formula>NOT(ISERROR(SEARCH("Fixed",F30)))</formula>
    </cfRule>
  </conditionalFormatting>
  <conditionalFormatting sqref="F31">
    <cfRule type="containsText" dxfId="5" priority="7" stopIfTrue="1" operator="containsText" text="Fixed">
      <formula>NOT(ISERROR(SEARCH("Fixed",F31)))</formula>
    </cfRule>
  </conditionalFormatting>
  <conditionalFormatting sqref="F34">
    <cfRule type="containsText" dxfId="4" priority="6" stopIfTrue="1" operator="containsText" text="Fixed">
      <formula>NOT(ISERROR(SEARCH("Fixed",F34)))</formula>
    </cfRule>
  </conditionalFormatting>
  <conditionalFormatting sqref="F45">
    <cfRule type="containsText" dxfId="3" priority="5" stopIfTrue="1" operator="containsText" text="Fixed">
      <formula>NOT(ISERROR(SEARCH("Fixed",F45)))</formula>
    </cfRule>
  </conditionalFormatting>
  <conditionalFormatting sqref="F46">
    <cfRule type="containsText" dxfId="2" priority="4" stopIfTrue="1" operator="containsText" text="Fixed">
      <formula>NOT(ISERROR(SEARCH("Fixed",F46)))</formula>
    </cfRule>
  </conditionalFormatting>
  <conditionalFormatting sqref="F47">
    <cfRule type="containsText" dxfId="1" priority="3" stopIfTrue="1" operator="containsText" text="Fixed">
      <formula>NOT(ISERROR(SEARCH("Fixed",F47)))</formula>
    </cfRule>
  </conditionalFormatting>
  <conditionalFormatting sqref="BP70">
    <cfRule type="cellIs" dxfId="0" priority="1" operator="equal">
      <formula>"x"</formula>
    </cfRule>
  </conditionalFormatting>
  <hyperlinks>
    <hyperlink ref="A1" location="Index!A1" tooltip="Jump to Index sheet" display="Index!A1"/>
  </hyperlink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sheetPr>
  <dimension ref="A1:AU38"/>
  <sheetViews>
    <sheetView topLeftCell="C1" zoomScale="50" zoomScaleNormal="50" workbookViewId="0">
      <selection activeCell="X40" sqref="X40"/>
    </sheetView>
  </sheetViews>
  <sheetFormatPr defaultRowHeight="15" customHeight="1"/>
  <cols>
    <col min="1" max="1" width="14.625" style="57" customWidth="1"/>
    <col min="2" max="2" width="7.25" style="57" customWidth="1"/>
    <col min="3" max="3" width="10.5" style="57" customWidth="1"/>
    <col min="4" max="4" width="16.625" style="57" customWidth="1"/>
    <col min="5" max="5" width="10.375" style="57" bestFit="1" customWidth="1"/>
    <col min="6" max="6" width="14.375" style="59" bestFit="1" customWidth="1"/>
    <col min="7" max="7" width="1.875" style="59" customWidth="1"/>
    <col min="8" max="8" width="5.75" style="57" bestFit="1" customWidth="1"/>
    <col min="9" max="9" width="13.625" style="57" customWidth="1"/>
    <col min="10" max="10" width="8.5" style="84" customWidth="1"/>
    <col min="11" max="11" width="8.625" style="84" customWidth="1"/>
    <col min="12" max="12" width="9.625" style="57" customWidth="1"/>
    <col min="13" max="17" width="6.625" style="57" customWidth="1"/>
    <col min="18" max="18" width="9.875" style="57" bestFit="1" customWidth="1"/>
    <col min="19" max="23" width="6.625" style="57" customWidth="1"/>
    <col min="24" max="24" width="9.875" style="57" bestFit="1" customWidth="1"/>
    <col min="25" max="29" width="6.625" style="57" customWidth="1"/>
    <col min="30" max="30" width="9.875" style="57" bestFit="1" customWidth="1"/>
    <col min="31" max="35" width="6.625" style="57" customWidth="1"/>
    <col min="36" max="36" width="9.875" style="57" bestFit="1" customWidth="1"/>
    <col min="37" max="41" width="6.625" style="57" customWidth="1"/>
    <col min="42" max="42" width="8.625" style="57" customWidth="1"/>
    <col min="43" max="43" width="7.25" style="57" customWidth="1"/>
    <col min="44" max="46" width="6.625" style="57" customWidth="1"/>
    <col min="47" max="47" width="23.75" style="57" customWidth="1"/>
    <col min="48" max="16384" width="9" style="57"/>
  </cols>
  <sheetData>
    <row r="1" spans="1:47" ht="21.75" customHeight="1" thickBot="1">
      <c r="H1" s="60"/>
      <c r="I1" s="60"/>
      <c r="J1" s="61"/>
      <c r="K1" s="439" t="s">
        <v>58</v>
      </c>
      <c r="L1" s="440"/>
      <c r="M1" s="165"/>
      <c r="N1" s="166"/>
      <c r="O1" s="167" t="s">
        <v>63</v>
      </c>
      <c r="P1" s="172">
        <v>3</v>
      </c>
      <c r="Q1" s="168" t="s">
        <v>57</v>
      </c>
      <c r="R1" s="438">
        <v>717426</v>
      </c>
      <c r="S1" s="438"/>
      <c r="T1" s="169"/>
      <c r="U1" s="159" t="s">
        <v>63</v>
      </c>
      <c r="V1" s="173">
        <v>8</v>
      </c>
      <c r="W1" s="161"/>
      <c r="X1" s="434">
        <v>2057641</v>
      </c>
      <c r="Y1" s="435"/>
      <c r="Z1" s="160"/>
      <c r="AA1" s="170" t="s">
        <v>63</v>
      </c>
      <c r="AB1" s="173">
        <v>5</v>
      </c>
      <c r="AC1" s="162" t="s">
        <v>57</v>
      </c>
      <c r="AD1" s="423">
        <v>1080194</v>
      </c>
      <c r="AE1" s="423"/>
      <c r="AF1" s="93"/>
      <c r="AG1" s="170" t="s">
        <v>63</v>
      </c>
      <c r="AH1" s="173">
        <v>22</v>
      </c>
      <c r="AI1" s="162" t="s">
        <v>57</v>
      </c>
      <c r="AJ1" s="423">
        <v>5580035</v>
      </c>
      <c r="AK1" s="423"/>
      <c r="AL1" s="93"/>
      <c r="AM1" s="170" t="s">
        <v>63</v>
      </c>
      <c r="AN1" s="173">
        <v>6</v>
      </c>
      <c r="AO1" s="162" t="s">
        <v>57</v>
      </c>
      <c r="AP1" s="423">
        <v>1445381</v>
      </c>
      <c r="AQ1" s="423"/>
      <c r="AR1" s="423"/>
      <c r="AS1" s="423"/>
      <c r="AT1" s="78"/>
      <c r="AU1" s="78"/>
    </row>
    <row r="2" spans="1:47" ht="15" customHeight="1" thickBot="1">
      <c r="H2" s="60"/>
      <c r="I2" s="60"/>
      <c r="J2" s="61"/>
      <c r="K2" s="61"/>
      <c r="L2" s="60"/>
      <c r="M2" s="445" t="s">
        <v>70</v>
      </c>
      <c r="N2" s="446"/>
      <c r="O2" s="446"/>
      <c r="P2" s="446"/>
      <c r="Q2" s="446"/>
      <c r="R2" s="446"/>
      <c r="S2" s="446"/>
      <c r="T2" s="446"/>
      <c r="U2" s="428" t="s">
        <v>67</v>
      </c>
      <c r="V2" s="428"/>
      <c r="W2" s="428"/>
      <c r="X2" s="428"/>
      <c r="Y2" s="428"/>
      <c r="Z2" s="428"/>
      <c r="AA2" s="441" t="s">
        <v>69</v>
      </c>
      <c r="AB2" s="441"/>
      <c r="AC2" s="441"/>
      <c r="AD2" s="441"/>
      <c r="AE2" s="441"/>
      <c r="AF2" s="441"/>
      <c r="AG2" s="428" t="s">
        <v>68</v>
      </c>
      <c r="AH2" s="428"/>
      <c r="AI2" s="428"/>
      <c r="AJ2" s="428"/>
      <c r="AK2" s="428"/>
      <c r="AL2" s="428"/>
      <c r="AM2" s="441" t="s">
        <v>71</v>
      </c>
      <c r="AN2" s="441"/>
      <c r="AO2" s="441"/>
      <c r="AP2" s="441"/>
      <c r="AQ2" s="441"/>
      <c r="AR2" s="441"/>
      <c r="AS2" s="441"/>
      <c r="AT2" s="442"/>
      <c r="AU2" s="60"/>
    </row>
    <row r="3" spans="1:47" ht="18.95" customHeight="1">
      <c r="A3" s="157" t="s">
        <v>19</v>
      </c>
      <c r="B3" s="418" t="s">
        <v>20</v>
      </c>
      <c r="C3" s="418" t="s">
        <v>21</v>
      </c>
      <c r="D3" s="418" t="s">
        <v>40</v>
      </c>
      <c r="E3" s="418" t="s">
        <v>49</v>
      </c>
      <c r="F3" s="447" t="s">
        <v>41</v>
      </c>
      <c r="G3" s="152"/>
      <c r="H3" s="449" t="s">
        <v>14</v>
      </c>
      <c r="I3" s="443" t="s">
        <v>38</v>
      </c>
      <c r="J3" s="424" t="s">
        <v>56</v>
      </c>
      <c r="K3" s="424" t="s">
        <v>50</v>
      </c>
      <c r="L3" s="426" t="s">
        <v>26</v>
      </c>
      <c r="M3" s="163">
        <v>700</v>
      </c>
      <c r="N3" s="163">
        <v>730</v>
      </c>
      <c r="O3" s="163">
        <v>800</v>
      </c>
      <c r="P3" s="163">
        <v>830</v>
      </c>
      <c r="Q3" s="163">
        <v>900</v>
      </c>
      <c r="R3" s="163">
        <v>930</v>
      </c>
      <c r="S3" s="176">
        <v>1000</v>
      </c>
      <c r="T3" s="176">
        <v>1030</v>
      </c>
      <c r="U3" s="164">
        <v>1100</v>
      </c>
      <c r="V3" s="164">
        <v>1130</v>
      </c>
      <c r="W3" s="164">
        <v>1200</v>
      </c>
      <c r="X3" s="164">
        <v>1230</v>
      </c>
      <c r="Y3" s="164">
        <v>1300</v>
      </c>
      <c r="Z3" s="164">
        <v>1330</v>
      </c>
      <c r="AA3" s="163">
        <v>1400</v>
      </c>
      <c r="AB3" s="174">
        <f>AA4</f>
        <v>1430</v>
      </c>
      <c r="AC3" s="174">
        <f t="shared" ref="AC3:AQ3" si="0">AB4</f>
        <v>1500</v>
      </c>
      <c r="AD3" s="174">
        <f>AC4</f>
        <v>1530</v>
      </c>
      <c r="AE3" s="174">
        <f t="shared" si="0"/>
        <v>1600</v>
      </c>
      <c r="AF3" s="174">
        <f t="shared" si="0"/>
        <v>1630</v>
      </c>
      <c r="AG3" s="175">
        <f t="shared" si="0"/>
        <v>1700</v>
      </c>
      <c r="AH3" s="175">
        <f t="shared" si="0"/>
        <v>1730</v>
      </c>
      <c r="AI3" s="175">
        <f>AH4</f>
        <v>1800</v>
      </c>
      <c r="AJ3" s="175">
        <f t="shared" si="0"/>
        <v>1830</v>
      </c>
      <c r="AK3" s="175">
        <f t="shared" si="0"/>
        <v>1900</v>
      </c>
      <c r="AL3" s="175">
        <f t="shared" si="0"/>
        <v>1930</v>
      </c>
      <c r="AM3" s="174">
        <f t="shared" si="0"/>
        <v>2000</v>
      </c>
      <c r="AN3" s="174">
        <f>AM4</f>
        <v>2030</v>
      </c>
      <c r="AO3" s="174">
        <f t="shared" si="0"/>
        <v>2100</v>
      </c>
      <c r="AP3" s="174">
        <f t="shared" si="0"/>
        <v>2130</v>
      </c>
      <c r="AQ3" s="174">
        <f t="shared" si="0"/>
        <v>2200</v>
      </c>
      <c r="AR3" s="174">
        <f>AQ4</f>
        <v>2230</v>
      </c>
      <c r="AS3" s="174">
        <f>AR4</f>
        <v>2300</v>
      </c>
      <c r="AT3" s="163">
        <v>2300</v>
      </c>
      <c r="AU3" s="436" t="s">
        <v>42</v>
      </c>
    </row>
    <row r="4" spans="1:47" ht="18.95" customHeight="1" thickBot="1">
      <c r="A4" s="147" t="s">
        <v>43</v>
      </c>
      <c r="B4" s="419"/>
      <c r="C4" s="419"/>
      <c r="D4" s="419"/>
      <c r="E4" s="419"/>
      <c r="F4" s="448"/>
      <c r="G4" s="152"/>
      <c r="H4" s="450"/>
      <c r="I4" s="444"/>
      <c r="J4" s="425"/>
      <c r="K4" s="425"/>
      <c r="L4" s="427"/>
      <c r="M4" s="91">
        <v>730</v>
      </c>
      <c r="N4" s="91">
        <v>800</v>
      </c>
      <c r="O4" s="91">
        <v>830</v>
      </c>
      <c r="P4" s="91">
        <v>900</v>
      </c>
      <c r="Q4" s="91">
        <v>930</v>
      </c>
      <c r="R4" s="91">
        <v>1000</v>
      </c>
      <c r="S4" s="177">
        <v>1030</v>
      </c>
      <c r="T4" s="177">
        <v>1100</v>
      </c>
      <c r="U4" s="92">
        <v>1130</v>
      </c>
      <c r="V4" s="92">
        <v>1200</v>
      </c>
      <c r="W4" s="92">
        <v>1230</v>
      </c>
      <c r="X4" s="92">
        <v>1300</v>
      </c>
      <c r="Y4" s="92">
        <v>1330</v>
      </c>
      <c r="Z4" s="92">
        <v>1400</v>
      </c>
      <c r="AA4" s="91">
        <v>1430</v>
      </c>
      <c r="AB4" s="91">
        <v>1500</v>
      </c>
      <c r="AC4" s="91">
        <v>1530</v>
      </c>
      <c r="AD4" s="91">
        <v>1600</v>
      </c>
      <c r="AE4" s="91">
        <v>1630</v>
      </c>
      <c r="AF4" s="91">
        <v>1700</v>
      </c>
      <c r="AG4" s="92">
        <v>1730</v>
      </c>
      <c r="AH4" s="92">
        <v>1800</v>
      </c>
      <c r="AI4" s="92">
        <v>1830</v>
      </c>
      <c r="AJ4" s="92">
        <v>1900</v>
      </c>
      <c r="AK4" s="92">
        <v>1930</v>
      </c>
      <c r="AL4" s="92">
        <v>2000</v>
      </c>
      <c r="AM4" s="91">
        <v>2030</v>
      </c>
      <c r="AN4" s="91">
        <v>2100</v>
      </c>
      <c r="AO4" s="91">
        <v>2130</v>
      </c>
      <c r="AP4" s="91">
        <v>2200</v>
      </c>
      <c r="AQ4" s="91">
        <v>2230</v>
      </c>
      <c r="AR4" s="91">
        <v>2300</v>
      </c>
      <c r="AS4" s="91">
        <v>2330</v>
      </c>
      <c r="AT4" s="91">
        <v>2400</v>
      </c>
      <c r="AU4" s="437"/>
    </row>
    <row r="5" spans="1:47" ht="18.95" customHeight="1">
      <c r="A5" s="89" t="s">
        <v>163</v>
      </c>
      <c r="B5" s="62" t="s">
        <v>1</v>
      </c>
      <c r="C5" s="52">
        <f>L5</f>
        <v>70</v>
      </c>
      <c r="D5" s="88">
        <v>10000000</v>
      </c>
      <c r="E5" s="134">
        <f>+D5/C5</f>
        <v>142857.14285714287</v>
      </c>
      <c r="F5" s="153"/>
      <c r="G5" s="154"/>
      <c r="H5" s="109" t="s">
        <v>31</v>
      </c>
      <c r="I5" s="110"/>
      <c r="J5" s="111"/>
      <c r="K5" s="111"/>
      <c r="L5" s="329">
        <f>(SUM(M5:AT5))/2</f>
        <v>70</v>
      </c>
      <c r="M5" s="112">
        <f t="shared" ref="M5:AT5" si="1">COUNTA(M6:M36)-COUNTIF(M6:M36,"")</f>
        <v>0</v>
      </c>
      <c r="N5" s="112">
        <f>COUNTA(N6:N36)-COUNTIF(N6:N36,"")</f>
        <v>0</v>
      </c>
      <c r="O5" s="112">
        <f>COUNTA(O6:O36)-COUNTIF(O6:O36,"")</f>
        <v>2</v>
      </c>
      <c r="P5" s="112">
        <f t="shared" si="1"/>
        <v>2</v>
      </c>
      <c r="Q5" s="112">
        <f>COUNTA(Q6:Q36)-COUNTIF(Q6:Q36,"")</f>
        <v>4</v>
      </c>
      <c r="R5" s="112">
        <f t="shared" si="1"/>
        <v>4</v>
      </c>
      <c r="S5" s="112">
        <f>COUNTA(S6:S36)-COUNTIF(S6:S36,"")</f>
        <v>4</v>
      </c>
      <c r="T5" s="112">
        <f t="shared" si="1"/>
        <v>4</v>
      </c>
      <c r="U5" s="113">
        <f>COUNTA(U6:U36)-COUNTIF(U6:U36,"")</f>
        <v>5</v>
      </c>
      <c r="V5" s="113">
        <f t="shared" si="1"/>
        <v>5</v>
      </c>
      <c r="W5" s="113">
        <f t="shared" si="1"/>
        <v>6</v>
      </c>
      <c r="X5" s="113">
        <f>COUNTA(X6:X36)-COUNTIF(X6:X36,"")</f>
        <v>6</v>
      </c>
      <c r="Y5" s="113">
        <f t="shared" si="1"/>
        <v>4</v>
      </c>
      <c r="Z5" s="113">
        <f t="shared" si="1"/>
        <v>4</v>
      </c>
      <c r="AA5" s="112">
        <f t="shared" si="1"/>
        <v>3</v>
      </c>
      <c r="AB5" s="112">
        <f t="shared" si="1"/>
        <v>3</v>
      </c>
      <c r="AC5" s="112">
        <f t="shared" si="1"/>
        <v>4</v>
      </c>
      <c r="AD5" s="112">
        <f t="shared" ref="AD5:AM5" si="2">COUNTA(AD6:AD36)-COUNTIF(AD6:AD36,"")</f>
        <v>4</v>
      </c>
      <c r="AE5" s="112">
        <f t="shared" si="2"/>
        <v>4</v>
      </c>
      <c r="AF5" s="112">
        <f t="shared" si="2"/>
        <v>4</v>
      </c>
      <c r="AG5" s="113">
        <f t="shared" si="2"/>
        <v>6</v>
      </c>
      <c r="AH5" s="113">
        <f t="shared" si="2"/>
        <v>6</v>
      </c>
      <c r="AI5" s="113">
        <f t="shared" si="2"/>
        <v>8</v>
      </c>
      <c r="AJ5" s="113">
        <f t="shared" si="2"/>
        <v>8</v>
      </c>
      <c r="AK5" s="113">
        <f t="shared" si="2"/>
        <v>8</v>
      </c>
      <c r="AL5" s="113">
        <f t="shared" si="2"/>
        <v>8</v>
      </c>
      <c r="AM5" s="112">
        <f t="shared" si="2"/>
        <v>6</v>
      </c>
      <c r="AN5" s="112">
        <f t="shared" si="1"/>
        <v>6</v>
      </c>
      <c r="AO5" s="112">
        <f t="shared" si="1"/>
        <v>4</v>
      </c>
      <c r="AP5" s="112">
        <f t="shared" si="1"/>
        <v>4</v>
      </c>
      <c r="AQ5" s="112">
        <f t="shared" si="1"/>
        <v>2</v>
      </c>
      <c r="AR5" s="112">
        <f>COUNTA(AR6:AR36)-COUNTIF(AR6:AR36,"")</f>
        <v>2</v>
      </c>
      <c r="AS5" s="112">
        <f t="shared" si="1"/>
        <v>0</v>
      </c>
      <c r="AT5" s="112">
        <f t="shared" si="1"/>
        <v>0</v>
      </c>
      <c r="AU5" s="114"/>
    </row>
    <row r="6" spans="1:47" ht="18.95" customHeight="1">
      <c r="A6" s="90" t="s">
        <v>77</v>
      </c>
      <c r="B6" s="133"/>
      <c r="C6" s="63"/>
      <c r="D6" s="64"/>
      <c r="E6" s="65"/>
      <c r="F6" s="155"/>
      <c r="G6" s="154"/>
      <c r="H6" s="429" t="s">
        <v>44</v>
      </c>
      <c r="I6" s="94" t="s">
        <v>39</v>
      </c>
      <c r="J6" s="95">
        <v>800</v>
      </c>
      <c r="K6" s="122">
        <v>1600</v>
      </c>
      <c r="L6" s="128">
        <f>(COUNTA(M6:AT6)-COUNTIF(M6:AT6,""))/2</f>
        <v>8</v>
      </c>
      <c r="M6" s="125" t="str">
        <f t="shared" ref="M6:V15" si="3">IF(AND(M$3&gt;$J6,M$4&lt;$K6),"-------",IF(M$3=$J6,"&lt;-----",IF(M$4=$K6,"-----&gt;","")))</f>
        <v/>
      </c>
      <c r="N6" s="96" t="str">
        <f t="shared" si="3"/>
        <v/>
      </c>
      <c r="O6" s="96" t="str">
        <f>IF(AND(O$3&gt;$J6,O$4&lt;$K6),"---------",IF(O$3=$J6,"&lt;-----",IF(O$4=$K6,"-----&gt;","")))</f>
        <v>&lt;-----</v>
      </c>
      <c r="P6" s="96" t="str">
        <f t="shared" si="3"/>
        <v>-------</v>
      </c>
      <c r="Q6" s="96" t="str">
        <f t="shared" si="3"/>
        <v>-------</v>
      </c>
      <c r="R6" s="96" t="str">
        <f>IF(AND(R$3&gt;$J6,R$4&lt;$K6),"-----------",IF(R$3=$J6,"&lt;-----",IF(R$4=$K6,"-----&gt;","")))</f>
        <v>-----------</v>
      </c>
      <c r="S6" s="96" t="str">
        <f t="shared" si="3"/>
        <v>-------</v>
      </c>
      <c r="T6" s="96" t="str">
        <f t="shared" si="3"/>
        <v>-------</v>
      </c>
      <c r="U6" s="96" t="str">
        <f t="shared" si="3"/>
        <v>-------</v>
      </c>
      <c r="V6" s="96" t="str">
        <f t="shared" si="3"/>
        <v>-------</v>
      </c>
      <c r="W6" s="96" t="str">
        <f t="shared" ref="W6:AF15" si="4">IF(AND(W$3&gt;$J6,W$4&lt;$K6),"-------",IF(W$3=$J6,"&lt;-----",IF(W$4=$K6,"-----&gt;","")))</f>
        <v>-------</v>
      </c>
      <c r="X6" s="96" t="str">
        <f>IF(AND(X$3&gt;$J6,X$4&lt;$K6),"-----------",IF(X$3=$J6,"&lt;-----",IF(X$4=$K6,"-----&gt;","")))</f>
        <v>-----------</v>
      </c>
      <c r="Y6" s="96" t="str">
        <f t="shared" si="4"/>
        <v>-------</v>
      </c>
      <c r="Z6" s="96" t="str">
        <f t="shared" si="4"/>
        <v>-------</v>
      </c>
      <c r="AA6" s="96" t="str">
        <f t="shared" si="4"/>
        <v>-------</v>
      </c>
      <c r="AB6" s="96" t="str">
        <f t="shared" si="4"/>
        <v>-------</v>
      </c>
      <c r="AC6" s="96" t="str">
        <f t="shared" si="4"/>
        <v>-------</v>
      </c>
      <c r="AD6" s="96" t="str">
        <f>IF(AND(AD$3&gt;$J6,AD$4&lt;$K6),"-------",IF(AD$3=$J6,"&lt;-----",IF(AD$4=$K6,"----------&gt;","")))</f>
        <v>----------&gt;</v>
      </c>
      <c r="AE6" s="96" t="str">
        <f t="shared" si="4"/>
        <v/>
      </c>
      <c r="AF6" s="96" t="str">
        <f t="shared" si="4"/>
        <v/>
      </c>
      <c r="AG6" s="96" t="str">
        <f t="shared" ref="AG6:AT15" si="5">IF(AND(AG$3&gt;$J6,AG$4&lt;$K6),"-------",IF(AG$3=$J6,"&lt;-----",IF(AG$4=$K6,"-----&gt;","")))</f>
        <v/>
      </c>
      <c r="AH6" s="96" t="str">
        <f t="shared" si="5"/>
        <v/>
      </c>
      <c r="AI6" s="96" t="str">
        <f t="shared" si="5"/>
        <v/>
      </c>
      <c r="AJ6" s="96" t="str">
        <f t="shared" si="5"/>
        <v/>
      </c>
      <c r="AK6" s="96" t="str">
        <f t="shared" si="5"/>
        <v/>
      </c>
      <c r="AL6" s="96" t="str">
        <f t="shared" si="5"/>
        <v/>
      </c>
      <c r="AM6" s="96" t="str">
        <f t="shared" si="5"/>
        <v/>
      </c>
      <c r="AN6" s="96" t="str">
        <f t="shared" si="5"/>
        <v/>
      </c>
      <c r="AO6" s="96" t="str">
        <f t="shared" si="5"/>
        <v/>
      </c>
      <c r="AP6" s="96" t="str">
        <f t="shared" si="5"/>
        <v/>
      </c>
      <c r="AQ6" s="96" t="str">
        <f t="shared" si="5"/>
        <v/>
      </c>
      <c r="AR6" s="96" t="str">
        <f t="shared" si="5"/>
        <v/>
      </c>
      <c r="AS6" s="96" t="str">
        <f t="shared" si="5"/>
        <v/>
      </c>
      <c r="AT6" s="96" t="str">
        <f t="shared" si="5"/>
        <v/>
      </c>
      <c r="AU6" s="97"/>
    </row>
    <row r="7" spans="1:47" ht="18.95" customHeight="1">
      <c r="A7" s="66" t="s">
        <v>22</v>
      </c>
      <c r="B7" s="66"/>
      <c r="C7" s="53">
        <f>SUM(P1,V1,AB1,AG1,AN1)</f>
        <v>22</v>
      </c>
      <c r="D7" s="53">
        <f>SUM(R1,X1,AD1,AJ1,AP1)</f>
        <v>10880677</v>
      </c>
      <c r="E7" s="67"/>
      <c r="F7" s="156"/>
      <c r="G7" s="68"/>
      <c r="H7" s="430"/>
      <c r="I7" s="98" t="s">
        <v>78</v>
      </c>
      <c r="J7" s="99">
        <v>1500</v>
      </c>
      <c r="K7" s="123">
        <v>2300</v>
      </c>
      <c r="L7" s="129">
        <f>(COUNTA(M7:AT7)-COUNTIF(M7:AT7,""))/2</f>
        <v>8</v>
      </c>
      <c r="M7" s="126" t="str">
        <f t="shared" si="3"/>
        <v/>
      </c>
      <c r="N7" s="100" t="str">
        <f t="shared" si="3"/>
        <v/>
      </c>
      <c r="O7" s="100" t="str">
        <f t="shared" si="3"/>
        <v/>
      </c>
      <c r="P7" s="100" t="str">
        <f t="shared" si="3"/>
        <v/>
      </c>
      <c r="Q7" s="100" t="str">
        <f t="shared" si="3"/>
        <v/>
      </c>
      <c r="R7" s="100" t="str">
        <f t="shared" si="3"/>
        <v/>
      </c>
      <c r="S7" s="100" t="str">
        <f t="shared" si="3"/>
        <v/>
      </c>
      <c r="T7" s="100" t="str">
        <f t="shared" si="3"/>
        <v/>
      </c>
      <c r="U7" s="100" t="str">
        <f t="shared" si="3"/>
        <v/>
      </c>
      <c r="V7" s="100" t="str">
        <f t="shared" si="3"/>
        <v/>
      </c>
      <c r="W7" s="100" t="str">
        <f t="shared" si="4"/>
        <v/>
      </c>
      <c r="X7" s="100" t="str">
        <f t="shared" si="4"/>
        <v/>
      </c>
      <c r="Y7" s="100" t="str">
        <f t="shared" si="4"/>
        <v/>
      </c>
      <c r="Z7" s="100" t="str">
        <f t="shared" si="4"/>
        <v/>
      </c>
      <c r="AA7" s="100" t="str">
        <f t="shared" si="4"/>
        <v/>
      </c>
      <c r="AB7" s="100" t="str">
        <f t="shared" si="4"/>
        <v/>
      </c>
      <c r="AC7" s="100" t="str">
        <f t="shared" si="4"/>
        <v>&lt;-----</v>
      </c>
      <c r="AD7" s="100" t="str">
        <f>IF(AND(AD$3&gt;$J7,AD$4&lt;$K7),"------------",IF(AD$3=$J7,"&lt;-----",IF(AD$4=$K7,"-----&gt;","")))</f>
        <v>------------</v>
      </c>
      <c r="AE7" s="100" t="str">
        <f t="shared" si="4"/>
        <v>-------</v>
      </c>
      <c r="AF7" s="100" t="str">
        <f t="shared" si="4"/>
        <v>-------</v>
      </c>
      <c r="AG7" s="100" t="str">
        <f t="shared" si="5"/>
        <v>-------</v>
      </c>
      <c r="AH7" s="100" t="str">
        <f t="shared" si="5"/>
        <v>-------</v>
      </c>
      <c r="AI7" s="100" t="str">
        <f t="shared" si="5"/>
        <v>-------</v>
      </c>
      <c r="AJ7" s="100" t="str">
        <f>IF(AND(AJ$3&gt;$J7,AJ$4&lt;$K7),"-------------",IF(AJ$3=$J7,"&lt;-----",IF(AJ$4=$K7,"-----&gt;","")))</f>
        <v>-------------</v>
      </c>
      <c r="AK7" s="100" t="str">
        <f t="shared" si="5"/>
        <v>-------</v>
      </c>
      <c r="AL7" s="100" t="str">
        <f t="shared" si="5"/>
        <v>-------</v>
      </c>
      <c r="AM7" s="100" t="str">
        <f t="shared" si="5"/>
        <v>-------</v>
      </c>
      <c r="AN7" s="100" t="str">
        <f t="shared" si="5"/>
        <v>-------</v>
      </c>
      <c r="AO7" s="100" t="str">
        <f t="shared" si="5"/>
        <v>-------</v>
      </c>
      <c r="AP7" s="100" t="str">
        <f>IF(AND(AP$3&gt;$J7,AP$4&lt;$K7),"-------------",IF(AP$3=$J7,"&lt;-----",IF(AP$4=$K7,"-----&gt;","")))</f>
        <v>-------------</v>
      </c>
      <c r="AQ7" s="100" t="str">
        <f>IF(AND(AQ$3&gt;$J7,AQ$4&lt;$K7),"---------",IF(AQ$3=$J7,"&lt;-----",IF(AQ$4=$K7,"----------&gt;","")))</f>
        <v>---------</v>
      </c>
      <c r="AR7" s="100" t="str">
        <f t="shared" si="5"/>
        <v>-----&gt;</v>
      </c>
      <c r="AS7" s="100" t="str">
        <f t="shared" si="5"/>
        <v/>
      </c>
      <c r="AT7" s="100" t="str">
        <f t="shared" si="5"/>
        <v/>
      </c>
      <c r="AU7" s="101"/>
    </row>
    <row r="8" spans="1:47" ht="18.95" customHeight="1">
      <c r="A8" s="415" t="s">
        <v>75</v>
      </c>
      <c r="B8" s="416"/>
      <c r="C8" s="416"/>
      <c r="D8" s="416"/>
      <c r="E8" s="416"/>
      <c r="F8" s="417"/>
      <c r="G8" s="151"/>
      <c r="H8" s="430"/>
      <c r="I8" s="98" t="s">
        <v>81</v>
      </c>
      <c r="J8" s="99"/>
      <c r="K8" s="123"/>
      <c r="L8" s="129">
        <f t="shared" ref="L8:L36" si="6">(COUNTA(M8:AT8)-COUNTIF(M8:AT8,""))/2</f>
        <v>0</v>
      </c>
      <c r="M8" s="126" t="str">
        <f t="shared" si="3"/>
        <v/>
      </c>
      <c r="N8" s="100" t="str">
        <f t="shared" si="3"/>
        <v/>
      </c>
      <c r="O8" s="100" t="str">
        <f t="shared" si="3"/>
        <v/>
      </c>
      <c r="P8" s="100" t="str">
        <f t="shared" si="3"/>
        <v/>
      </c>
      <c r="Q8" s="100" t="str">
        <f t="shared" si="3"/>
        <v/>
      </c>
      <c r="R8" s="100" t="str">
        <f t="shared" si="3"/>
        <v/>
      </c>
      <c r="S8" s="100" t="str">
        <f t="shared" si="3"/>
        <v/>
      </c>
      <c r="T8" s="100" t="str">
        <f t="shared" si="3"/>
        <v/>
      </c>
      <c r="U8" s="100" t="str">
        <f t="shared" si="3"/>
        <v/>
      </c>
      <c r="V8" s="100" t="str">
        <f t="shared" si="3"/>
        <v/>
      </c>
      <c r="W8" s="100" t="str">
        <f t="shared" si="4"/>
        <v/>
      </c>
      <c r="X8" s="100" t="str">
        <f t="shared" si="4"/>
        <v/>
      </c>
      <c r="Y8" s="100" t="str">
        <f t="shared" si="4"/>
        <v/>
      </c>
      <c r="Z8" s="100" t="str">
        <f t="shared" si="4"/>
        <v/>
      </c>
      <c r="AA8" s="100" t="str">
        <f t="shared" si="4"/>
        <v/>
      </c>
      <c r="AB8" s="100" t="str">
        <f t="shared" si="4"/>
        <v/>
      </c>
      <c r="AC8" s="100" t="str">
        <f t="shared" si="4"/>
        <v/>
      </c>
      <c r="AD8" s="100" t="str">
        <f t="shared" si="4"/>
        <v/>
      </c>
      <c r="AE8" s="100" t="str">
        <f t="shared" si="4"/>
        <v/>
      </c>
      <c r="AF8" s="100" t="str">
        <f t="shared" si="4"/>
        <v/>
      </c>
      <c r="AG8" s="100" t="str">
        <f t="shared" si="5"/>
        <v/>
      </c>
      <c r="AH8" s="100" t="str">
        <f t="shared" si="5"/>
        <v/>
      </c>
      <c r="AI8" s="100" t="str">
        <f t="shared" si="5"/>
        <v/>
      </c>
      <c r="AJ8" s="100" t="str">
        <f t="shared" si="5"/>
        <v/>
      </c>
      <c r="AK8" s="100" t="str">
        <f t="shared" si="5"/>
        <v/>
      </c>
      <c r="AL8" s="100" t="str">
        <f t="shared" si="5"/>
        <v/>
      </c>
      <c r="AM8" s="100" t="str">
        <f t="shared" si="5"/>
        <v/>
      </c>
      <c r="AN8" s="100" t="str">
        <f t="shared" si="5"/>
        <v/>
      </c>
      <c r="AO8" s="100" t="str">
        <f t="shared" si="5"/>
        <v/>
      </c>
      <c r="AP8" s="100" t="str">
        <f t="shared" si="5"/>
        <v/>
      </c>
      <c r="AQ8" s="100" t="str">
        <f t="shared" si="5"/>
        <v/>
      </c>
      <c r="AR8" s="100" t="str">
        <f t="shared" si="5"/>
        <v/>
      </c>
      <c r="AS8" s="100" t="str">
        <f t="shared" si="5"/>
        <v/>
      </c>
      <c r="AT8" s="100" t="str">
        <f t="shared" si="5"/>
        <v/>
      </c>
      <c r="AU8" s="101"/>
    </row>
    <row r="9" spans="1:47" ht="18.95" customHeight="1">
      <c r="A9" s="413" t="s">
        <v>45</v>
      </c>
      <c r="B9" s="81"/>
      <c r="C9" s="82" t="s">
        <v>46</v>
      </c>
      <c r="D9" s="69" t="s">
        <v>47</v>
      </c>
      <c r="E9" s="69" t="s">
        <v>48</v>
      </c>
      <c r="F9" s="432" t="s">
        <v>22</v>
      </c>
      <c r="G9" s="70"/>
      <c r="H9" s="431"/>
      <c r="I9" s="105"/>
      <c r="J9" s="106"/>
      <c r="K9" s="124"/>
      <c r="L9" s="130">
        <f t="shared" si="6"/>
        <v>0</v>
      </c>
      <c r="M9" s="127" t="str">
        <f t="shared" si="3"/>
        <v/>
      </c>
      <c r="N9" s="107" t="str">
        <f t="shared" si="3"/>
        <v/>
      </c>
      <c r="O9" s="107" t="str">
        <f t="shared" si="3"/>
        <v/>
      </c>
      <c r="P9" s="107" t="str">
        <f t="shared" si="3"/>
        <v/>
      </c>
      <c r="Q9" s="107" t="str">
        <f t="shared" si="3"/>
        <v/>
      </c>
      <c r="R9" s="107" t="str">
        <f t="shared" si="3"/>
        <v/>
      </c>
      <c r="S9" s="107" t="str">
        <f t="shared" si="3"/>
        <v/>
      </c>
      <c r="T9" s="107" t="str">
        <f t="shared" si="3"/>
        <v/>
      </c>
      <c r="U9" s="107" t="str">
        <f t="shared" si="3"/>
        <v/>
      </c>
      <c r="V9" s="107" t="str">
        <f t="shared" si="3"/>
        <v/>
      </c>
      <c r="W9" s="107" t="str">
        <f t="shared" si="4"/>
        <v/>
      </c>
      <c r="X9" s="107" t="str">
        <f t="shared" si="4"/>
        <v/>
      </c>
      <c r="Y9" s="107" t="str">
        <f t="shared" si="4"/>
        <v/>
      </c>
      <c r="Z9" s="107" t="str">
        <f t="shared" si="4"/>
        <v/>
      </c>
      <c r="AA9" s="107" t="str">
        <f t="shared" si="4"/>
        <v/>
      </c>
      <c r="AB9" s="107" t="str">
        <f t="shared" si="4"/>
        <v/>
      </c>
      <c r="AC9" s="107" t="str">
        <f t="shared" si="4"/>
        <v/>
      </c>
      <c r="AD9" s="107" t="str">
        <f t="shared" si="4"/>
        <v/>
      </c>
      <c r="AE9" s="107" t="str">
        <f t="shared" si="4"/>
        <v/>
      </c>
      <c r="AF9" s="107" t="str">
        <f t="shared" si="4"/>
        <v/>
      </c>
      <c r="AG9" s="107" t="str">
        <f t="shared" si="5"/>
        <v/>
      </c>
      <c r="AH9" s="107" t="str">
        <f t="shared" si="5"/>
        <v/>
      </c>
      <c r="AI9" s="107" t="str">
        <f t="shared" si="5"/>
        <v/>
      </c>
      <c r="AJ9" s="107" t="str">
        <f t="shared" si="5"/>
        <v/>
      </c>
      <c r="AK9" s="107" t="str">
        <f t="shared" si="5"/>
        <v/>
      </c>
      <c r="AL9" s="107" t="str">
        <f t="shared" si="5"/>
        <v/>
      </c>
      <c r="AM9" s="107" t="str">
        <f t="shared" si="5"/>
        <v/>
      </c>
      <c r="AN9" s="107" t="str">
        <f t="shared" si="5"/>
        <v/>
      </c>
      <c r="AO9" s="107" t="str">
        <f t="shared" si="5"/>
        <v/>
      </c>
      <c r="AP9" s="107" t="str">
        <f t="shared" si="5"/>
        <v/>
      </c>
      <c r="AQ9" s="107" t="str">
        <f t="shared" si="5"/>
        <v/>
      </c>
      <c r="AR9" s="107" t="str">
        <f t="shared" si="5"/>
        <v/>
      </c>
      <c r="AS9" s="107" t="str">
        <f t="shared" si="5"/>
        <v/>
      </c>
      <c r="AT9" s="107" t="str">
        <f t="shared" si="5"/>
        <v/>
      </c>
      <c r="AU9" s="116"/>
    </row>
    <row r="10" spans="1:47" ht="18.95" customHeight="1">
      <c r="A10" s="414"/>
      <c r="B10" s="81"/>
      <c r="C10" s="79">
        <v>0.33</v>
      </c>
      <c r="D10" s="79">
        <v>0.42</v>
      </c>
      <c r="E10" s="79">
        <v>0.25</v>
      </c>
      <c r="F10" s="433"/>
      <c r="G10" s="70"/>
      <c r="H10" s="429" t="s">
        <v>8</v>
      </c>
      <c r="I10" s="120" t="s">
        <v>72</v>
      </c>
      <c r="J10" s="95">
        <v>1100</v>
      </c>
      <c r="K10" s="122">
        <v>1530</v>
      </c>
      <c r="L10" s="128">
        <f t="shared" si="6"/>
        <v>4.5</v>
      </c>
      <c r="M10" s="125" t="str">
        <f t="shared" si="3"/>
        <v/>
      </c>
      <c r="N10" s="96" t="str">
        <f t="shared" si="3"/>
        <v/>
      </c>
      <c r="O10" s="96" t="str">
        <f t="shared" si="3"/>
        <v/>
      </c>
      <c r="P10" s="96" t="str">
        <f t="shared" si="3"/>
        <v/>
      </c>
      <c r="Q10" s="96" t="str">
        <f t="shared" si="3"/>
        <v/>
      </c>
      <c r="R10" s="96" t="str">
        <f t="shared" si="3"/>
        <v/>
      </c>
      <c r="S10" s="96" t="str">
        <f t="shared" si="3"/>
        <v/>
      </c>
      <c r="T10" s="96" t="str">
        <f t="shared" si="3"/>
        <v/>
      </c>
      <c r="U10" s="96" t="str">
        <f t="shared" si="3"/>
        <v>&lt;-----</v>
      </c>
      <c r="V10" s="96" t="str">
        <f t="shared" si="3"/>
        <v>-------</v>
      </c>
      <c r="W10" s="96" t="str">
        <f t="shared" si="4"/>
        <v>-------</v>
      </c>
      <c r="X10" s="96" t="str">
        <f>IF(AND(X$3&gt;$J10,X$4&lt;$K10),"------------",IF(X$3=$J10,"&lt;-----",IF(X$4=$K10,"-----&gt;","")))</f>
        <v>------------</v>
      </c>
      <c r="Y10" s="96" t="str">
        <f t="shared" si="4"/>
        <v>-------</v>
      </c>
      <c r="Z10" s="96" t="str">
        <f t="shared" si="4"/>
        <v>-------</v>
      </c>
      <c r="AA10" s="96" t="str">
        <f t="shared" si="4"/>
        <v>-------</v>
      </c>
      <c r="AB10" s="96" t="str">
        <f t="shared" si="4"/>
        <v>-------</v>
      </c>
      <c r="AC10" s="96" t="str">
        <f t="shared" si="4"/>
        <v>-----&gt;</v>
      </c>
      <c r="AD10" s="96" t="str">
        <f t="shared" si="4"/>
        <v/>
      </c>
      <c r="AE10" s="96" t="str">
        <f t="shared" si="4"/>
        <v/>
      </c>
      <c r="AF10" s="96" t="str">
        <f t="shared" si="4"/>
        <v/>
      </c>
      <c r="AG10" s="96" t="str">
        <f t="shared" si="5"/>
        <v/>
      </c>
      <c r="AH10" s="96" t="str">
        <f t="shared" si="5"/>
        <v/>
      </c>
      <c r="AI10" s="96" t="str">
        <f t="shared" si="5"/>
        <v/>
      </c>
      <c r="AJ10" s="96" t="str">
        <f t="shared" si="5"/>
        <v/>
      </c>
      <c r="AK10" s="96" t="str">
        <f t="shared" si="5"/>
        <v/>
      </c>
      <c r="AL10" s="96" t="str">
        <f t="shared" si="5"/>
        <v/>
      </c>
      <c r="AM10" s="96" t="str">
        <f t="shared" si="5"/>
        <v/>
      </c>
      <c r="AN10" s="96" t="str">
        <f t="shared" si="5"/>
        <v/>
      </c>
      <c r="AO10" s="96" t="str">
        <f t="shared" si="5"/>
        <v/>
      </c>
      <c r="AP10" s="96" t="str">
        <f t="shared" si="5"/>
        <v/>
      </c>
      <c r="AQ10" s="96" t="str">
        <f t="shared" si="5"/>
        <v/>
      </c>
      <c r="AR10" s="96" t="str">
        <f t="shared" si="5"/>
        <v/>
      </c>
      <c r="AS10" s="96" t="str">
        <f t="shared" si="5"/>
        <v/>
      </c>
      <c r="AT10" s="96" t="str">
        <f t="shared" si="5"/>
        <v/>
      </c>
      <c r="AU10" s="97"/>
    </row>
    <row r="11" spans="1:47" ht="18.95" customHeight="1">
      <c r="A11" s="71" t="s">
        <v>51</v>
      </c>
      <c r="B11" s="86">
        <v>0.188</v>
      </c>
      <c r="C11" s="54">
        <f>+$D$5*C$10*$B11</f>
        <v>620400</v>
      </c>
      <c r="D11" s="54">
        <f t="shared" ref="D11:E15" si="7">+$D$5*D$10*$B11</f>
        <v>789600</v>
      </c>
      <c r="E11" s="54">
        <f t="shared" si="7"/>
        <v>470000</v>
      </c>
      <c r="F11" s="55">
        <f>SUM(C11:E11)</f>
        <v>1880000</v>
      </c>
      <c r="G11" s="72"/>
      <c r="H11" s="430"/>
      <c r="I11" s="103" t="s">
        <v>73</v>
      </c>
      <c r="J11" s="99"/>
      <c r="K11" s="123"/>
      <c r="L11" s="129">
        <f t="shared" si="6"/>
        <v>0</v>
      </c>
      <c r="M11" s="126" t="str">
        <f t="shared" si="3"/>
        <v/>
      </c>
      <c r="N11" s="100" t="str">
        <f t="shared" si="3"/>
        <v/>
      </c>
      <c r="O11" s="100" t="str">
        <f t="shared" si="3"/>
        <v/>
      </c>
      <c r="P11" s="100" t="str">
        <f t="shared" si="3"/>
        <v/>
      </c>
      <c r="Q11" s="100" t="str">
        <f t="shared" si="3"/>
        <v/>
      </c>
      <c r="R11" s="100" t="str">
        <f t="shared" si="3"/>
        <v/>
      </c>
      <c r="S11" s="100" t="str">
        <f t="shared" si="3"/>
        <v/>
      </c>
      <c r="T11" s="100" t="str">
        <f t="shared" si="3"/>
        <v/>
      </c>
      <c r="U11" s="100" t="str">
        <f t="shared" si="3"/>
        <v/>
      </c>
      <c r="V11" s="100" t="str">
        <f t="shared" si="3"/>
        <v/>
      </c>
      <c r="W11" s="100" t="str">
        <f t="shared" si="4"/>
        <v/>
      </c>
      <c r="X11" s="100" t="str">
        <f t="shared" si="4"/>
        <v/>
      </c>
      <c r="Y11" s="100" t="str">
        <f t="shared" si="4"/>
        <v/>
      </c>
      <c r="Z11" s="100" t="str">
        <f t="shared" si="4"/>
        <v/>
      </c>
      <c r="AA11" s="100" t="str">
        <f t="shared" si="4"/>
        <v/>
      </c>
      <c r="AB11" s="100" t="str">
        <f t="shared" si="4"/>
        <v/>
      </c>
      <c r="AC11" s="100" t="str">
        <f t="shared" si="4"/>
        <v/>
      </c>
      <c r="AD11" s="100" t="str">
        <f t="shared" si="4"/>
        <v/>
      </c>
      <c r="AE11" s="100" t="str">
        <f t="shared" si="4"/>
        <v/>
      </c>
      <c r="AF11" s="100" t="str">
        <f t="shared" si="4"/>
        <v/>
      </c>
      <c r="AG11" s="100" t="str">
        <f t="shared" si="5"/>
        <v/>
      </c>
      <c r="AH11" s="100" t="str">
        <f t="shared" si="5"/>
        <v/>
      </c>
      <c r="AI11" s="100" t="str">
        <f t="shared" si="5"/>
        <v/>
      </c>
      <c r="AJ11" s="100" t="str">
        <f t="shared" si="5"/>
        <v/>
      </c>
      <c r="AK11" s="100" t="str">
        <f t="shared" si="5"/>
        <v/>
      </c>
      <c r="AL11" s="100" t="str">
        <f t="shared" si="5"/>
        <v/>
      </c>
      <c r="AM11" s="100" t="str">
        <f t="shared" si="5"/>
        <v/>
      </c>
      <c r="AN11" s="100" t="str">
        <f t="shared" si="5"/>
        <v/>
      </c>
      <c r="AO11" s="100" t="str">
        <f t="shared" si="5"/>
        <v/>
      </c>
      <c r="AP11" s="100" t="str">
        <f t="shared" si="5"/>
        <v/>
      </c>
      <c r="AQ11" s="100" t="str">
        <f t="shared" si="5"/>
        <v/>
      </c>
      <c r="AR11" s="100" t="str">
        <f t="shared" si="5"/>
        <v/>
      </c>
      <c r="AS11" s="100" t="str">
        <f t="shared" si="5"/>
        <v/>
      </c>
      <c r="AT11" s="100" t="str">
        <f t="shared" si="5"/>
        <v/>
      </c>
      <c r="AU11" s="102"/>
    </row>
    <row r="12" spans="1:47" ht="18.95" customHeight="1">
      <c r="A12" s="73" t="s">
        <v>52</v>
      </c>
      <c r="B12" s="86">
        <v>0.17899999999999999</v>
      </c>
      <c r="C12" s="54">
        <f>+$D$5*C$10*$B12</f>
        <v>590700</v>
      </c>
      <c r="D12" s="54">
        <f t="shared" si="7"/>
        <v>751800</v>
      </c>
      <c r="E12" s="54">
        <f t="shared" si="7"/>
        <v>447500</v>
      </c>
      <c r="F12" s="55">
        <f>SUM(C12:E12)</f>
        <v>1790000</v>
      </c>
      <c r="G12" s="72"/>
      <c r="H12" s="430"/>
      <c r="I12" s="98" t="s">
        <v>74</v>
      </c>
      <c r="J12" s="99">
        <v>1700</v>
      </c>
      <c r="K12" s="123">
        <v>2100</v>
      </c>
      <c r="L12" s="129">
        <f t="shared" si="6"/>
        <v>4</v>
      </c>
      <c r="M12" s="126" t="str">
        <f t="shared" si="3"/>
        <v/>
      </c>
      <c r="N12" s="100" t="str">
        <f t="shared" si="3"/>
        <v/>
      </c>
      <c r="O12" s="100" t="str">
        <f t="shared" si="3"/>
        <v/>
      </c>
      <c r="P12" s="100" t="str">
        <f t="shared" si="3"/>
        <v/>
      </c>
      <c r="Q12" s="100" t="str">
        <f t="shared" si="3"/>
        <v/>
      </c>
      <c r="R12" s="100" t="str">
        <f t="shared" si="3"/>
        <v/>
      </c>
      <c r="S12" s="100" t="str">
        <f t="shared" si="3"/>
        <v/>
      </c>
      <c r="T12" s="100" t="str">
        <f t="shared" si="3"/>
        <v/>
      </c>
      <c r="U12" s="100" t="str">
        <f t="shared" si="3"/>
        <v/>
      </c>
      <c r="V12" s="100" t="str">
        <f t="shared" si="3"/>
        <v/>
      </c>
      <c r="W12" s="100" t="str">
        <f t="shared" si="4"/>
        <v/>
      </c>
      <c r="X12" s="100" t="str">
        <f t="shared" si="4"/>
        <v/>
      </c>
      <c r="Y12" s="100" t="str">
        <f t="shared" si="4"/>
        <v/>
      </c>
      <c r="Z12" s="100" t="str">
        <f t="shared" si="4"/>
        <v/>
      </c>
      <c r="AA12" s="100" t="str">
        <f t="shared" si="4"/>
        <v/>
      </c>
      <c r="AB12" s="100" t="str">
        <f t="shared" si="4"/>
        <v/>
      </c>
      <c r="AC12" s="100" t="str">
        <f t="shared" si="4"/>
        <v/>
      </c>
      <c r="AD12" s="100" t="str">
        <f t="shared" si="4"/>
        <v/>
      </c>
      <c r="AE12" s="100" t="str">
        <f t="shared" si="4"/>
        <v/>
      </c>
      <c r="AF12" s="100" t="str">
        <f t="shared" si="4"/>
        <v/>
      </c>
      <c r="AG12" s="100" t="str">
        <f t="shared" si="5"/>
        <v>&lt;-----</v>
      </c>
      <c r="AH12" s="100" t="str">
        <f t="shared" si="5"/>
        <v>-------</v>
      </c>
      <c r="AI12" s="100" t="str">
        <f t="shared" si="5"/>
        <v>-------</v>
      </c>
      <c r="AJ12" s="100" t="str">
        <f>IF(AND(AJ$3&gt;$J12,AJ$4&lt;$K12),"--------------",IF(AJ$3=$J12,"&lt;-----",IF(AJ$4=$K12,"-----&gt;","")))</f>
        <v>--------------</v>
      </c>
      <c r="AK12" s="100" t="str">
        <f t="shared" si="5"/>
        <v>-------</v>
      </c>
      <c r="AL12" s="100" t="str">
        <f t="shared" si="5"/>
        <v>-------</v>
      </c>
      <c r="AM12" s="100" t="str">
        <f t="shared" si="5"/>
        <v>-------</v>
      </c>
      <c r="AN12" s="100" t="str">
        <f t="shared" si="5"/>
        <v>-----&gt;</v>
      </c>
      <c r="AO12" s="100" t="str">
        <f t="shared" si="5"/>
        <v/>
      </c>
      <c r="AP12" s="100" t="str">
        <f t="shared" si="5"/>
        <v/>
      </c>
      <c r="AQ12" s="100" t="str">
        <f t="shared" si="5"/>
        <v/>
      </c>
      <c r="AR12" s="100" t="str">
        <f t="shared" si="5"/>
        <v/>
      </c>
      <c r="AS12" s="100" t="str">
        <f t="shared" si="5"/>
        <v/>
      </c>
      <c r="AT12" s="100" t="str">
        <f t="shared" si="5"/>
        <v/>
      </c>
      <c r="AU12" s="102"/>
    </row>
    <row r="13" spans="1:47" ht="18.95" customHeight="1">
      <c r="A13" s="73" t="s">
        <v>53</v>
      </c>
      <c r="B13" s="86">
        <v>0.26400000000000001</v>
      </c>
      <c r="C13" s="54">
        <f>+$D$5*C$10*$B13</f>
        <v>871200</v>
      </c>
      <c r="D13" s="54">
        <f t="shared" si="7"/>
        <v>1108800</v>
      </c>
      <c r="E13" s="54">
        <f t="shared" si="7"/>
        <v>660000</v>
      </c>
      <c r="F13" s="55">
        <f>SUM(C13:E13)</f>
        <v>2640000</v>
      </c>
      <c r="G13" s="72"/>
      <c r="H13" s="430"/>
      <c r="I13" s="98" t="s">
        <v>65</v>
      </c>
      <c r="J13" s="99">
        <v>900</v>
      </c>
      <c r="K13" s="123">
        <v>1400</v>
      </c>
      <c r="L13" s="129">
        <f t="shared" si="6"/>
        <v>5</v>
      </c>
      <c r="M13" s="126" t="str">
        <f t="shared" si="3"/>
        <v/>
      </c>
      <c r="N13" s="100" t="str">
        <f t="shared" si="3"/>
        <v/>
      </c>
      <c r="O13" s="100" t="str">
        <f t="shared" si="3"/>
        <v/>
      </c>
      <c r="P13" s="100" t="str">
        <f t="shared" si="3"/>
        <v/>
      </c>
      <c r="Q13" s="100" t="str">
        <f t="shared" si="3"/>
        <v>&lt;-----</v>
      </c>
      <c r="R13" s="100" t="str">
        <f>IF(AND(R$3&gt;$J13,R$4&lt;$K13),"------------",IF(R$3=$J13,"&lt;-----",IF(R$4=$K13,"-----&gt;","")))</f>
        <v>------------</v>
      </c>
      <c r="S13" s="100" t="str">
        <f t="shared" si="3"/>
        <v>-------</v>
      </c>
      <c r="T13" s="100" t="str">
        <f t="shared" si="3"/>
        <v>-------</v>
      </c>
      <c r="U13" s="100" t="str">
        <f t="shared" si="3"/>
        <v>-------</v>
      </c>
      <c r="V13" s="100" t="str">
        <f t="shared" si="3"/>
        <v>-------</v>
      </c>
      <c r="W13" s="100" t="str">
        <f t="shared" si="4"/>
        <v>-------</v>
      </c>
      <c r="X13" s="100" t="str">
        <f>IF(AND(X$3&gt;$J13,X$4&lt;$K13),"------------",IF(X$3=$J13,"&lt;-----",IF(X$4=$K13,"-----&gt;","")))</f>
        <v>------------</v>
      </c>
      <c r="Y13" s="100" t="str">
        <f t="shared" si="4"/>
        <v>-------</v>
      </c>
      <c r="Z13" s="100" t="str">
        <f t="shared" si="4"/>
        <v>-----&gt;</v>
      </c>
      <c r="AA13" s="100" t="str">
        <f t="shared" si="4"/>
        <v/>
      </c>
      <c r="AB13" s="100" t="str">
        <f t="shared" si="4"/>
        <v/>
      </c>
      <c r="AC13" s="100" t="str">
        <f t="shared" si="4"/>
        <v/>
      </c>
      <c r="AD13" s="100" t="str">
        <f t="shared" si="4"/>
        <v/>
      </c>
      <c r="AE13" s="100" t="str">
        <f t="shared" si="4"/>
        <v/>
      </c>
      <c r="AF13" s="100" t="str">
        <f t="shared" si="4"/>
        <v/>
      </c>
      <c r="AG13" s="100" t="str">
        <f t="shared" si="5"/>
        <v/>
      </c>
      <c r="AH13" s="100" t="str">
        <f t="shared" si="5"/>
        <v/>
      </c>
      <c r="AI13" s="100" t="str">
        <f t="shared" si="5"/>
        <v/>
      </c>
      <c r="AJ13" s="100" t="str">
        <f t="shared" si="5"/>
        <v/>
      </c>
      <c r="AK13" s="100" t="str">
        <f t="shared" si="5"/>
        <v/>
      </c>
      <c r="AL13" s="100" t="str">
        <f t="shared" si="5"/>
        <v/>
      </c>
      <c r="AM13" s="100" t="str">
        <f t="shared" si="5"/>
        <v/>
      </c>
      <c r="AN13" s="100" t="str">
        <f t="shared" si="5"/>
        <v/>
      </c>
      <c r="AO13" s="100" t="str">
        <f t="shared" si="5"/>
        <v/>
      </c>
      <c r="AP13" s="100" t="str">
        <f t="shared" si="5"/>
        <v/>
      </c>
      <c r="AQ13" s="100" t="str">
        <f t="shared" si="5"/>
        <v/>
      </c>
      <c r="AR13" s="100" t="str">
        <f t="shared" si="5"/>
        <v/>
      </c>
      <c r="AS13" s="100" t="str">
        <f t="shared" si="5"/>
        <v/>
      </c>
      <c r="AT13" s="100" t="str">
        <f t="shared" si="5"/>
        <v/>
      </c>
      <c r="AU13" s="102"/>
    </row>
    <row r="14" spans="1:47" ht="18.95" customHeight="1">
      <c r="A14" s="73" t="s">
        <v>54</v>
      </c>
      <c r="B14" s="86">
        <v>0.36899999999999999</v>
      </c>
      <c r="C14" s="54">
        <f>+$D$5*C$10*$B14</f>
        <v>1217700</v>
      </c>
      <c r="D14" s="54">
        <f t="shared" si="7"/>
        <v>1549800</v>
      </c>
      <c r="E14" s="54">
        <f t="shared" si="7"/>
        <v>922500</v>
      </c>
      <c r="F14" s="55">
        <f>SUM(C14:E14)</f>
        <v>3690000</v>
      </c>
      <c r="G14" s="72"/>
      <c r="H14" s="430"/>
      <c r="I14" s="98" t="s">
        <v>66</v>
      </c>
      <c r="J14" s="99">
        <v>1600</v>
      </c>
      <c r="K14" s="123">
        <v>2000</v>
      </c>
      <c r="L14" s="129">
        <f t="shared" si="6"/>
        <v>4</v>
      </c>
      <c r="M14" s="126" t="str">
        <f t="shared" si="3"/>
        <v/>
      </c>
      <c r="N14" s="100" t="str">
        <f t="shared" si="3"/>
        <v/>
      </c>
      <c r="O14" s="100" t="str">
        <f t="shared" si="3"/>
        <v/>
      </c>
      <c r="P14" s="100" t="str">
        <f t="shared" si="3"/>
        <v/>
      </c>
      <c r="Q14" s="100" t="str">
        <f t="shared" si="3"/>
        <v/>
      </c>
      <c r="R14" s="100" t="str">
        <f t="shared" si="3"/>
        <v/>
      </c>
      <c r="S14" s="100" t="str">
        <f t="shared" si="3"/>
        <v/>
      </c>
      <c r="T14" s="100" t="str">
        <f t="shared" si="3"/>
        <v/>
      </c>
      <c r="U14" s="100" t="str">
        <f t="shared" si="3"/>
        <v/>
      </c>
      <c r="V14" s="100" t="str">
        <f t="shared" si="3"/>
        <v/>
      </c>
      <c r="W14" s="100" t="str">
        <f t="shared" si="4"/>
        <v/>
      </c>
      <c r="X14" s="100" t="str">
        <f t="shared" si="4"/>
        <v/>
      </c>
      <c r="Y14" s="100" t="str">
        <f t="shared" si="4"/>
        <v/>
      </c>
      <c r="Z14" s="100" t="str">
        <f t="shared" si="4"/>
        <v/>
      </c>
      <c r="AA14" s="100" t="str">
        <f t="shared" si="4"/>
        <v/>
      </c>
      <c r="AB14" s="100" t="str">
        <f t="shared" si="4"/>
        <v/>
      </c>
      <c r="AC14" s="100" t="str">
        <f t="shared" si="4"/>
        <v/>
      </c>
      <c r="AD14" s="100" t="str">
        <f>IF(AND(AD$3&gt;$J14,AD$4&lt;$K14),"-----------",IF(AD$3=$J14,"&lt;-----",IF(AD$4=$K14,"-----&gt;","")))</f>
        <v/>
      </c>
      <c r="AE14" s="100" t="str">
        <f t="shared" si="4"/>
        <v>&lt;-----</v>
      </c>
      <c r="AF14" s="100" t="str">
        <f t="shared" si="4"/>
        <v>-------</v>
      </c>
      <c r="AG14" s="100" t="str">
        <f t="shared" si="5"/>
        <v>-------</v>
      </c>
      <c r="AH14" s="100" t="str">
        <f t="shared" si="5"/>
        <v>-------</v>
      </c>
      <c r="AI14" s="100" t="str">
        <f t="shared" si="5"/>
        <v>-------</v>
      </c>
      <c r="AJ14" s="100" t="str">
        <f>IF(AND(AJ$3&gt;$J14,AJ$4&lt;$K14),"-------------",IF(AJ$3=$J14,"&lt;-----",IF(AJ$4=$K14,"-----&gt;","")))</f>
        <v>-------------</v>
      </c>
      <c r="AK14" s="100" t="str">
        <f t="shared" si="5"/>
        <v>-------</v>
      </c>
      <c r="AL14" s="100" t="str">
        <f t="shared" si="5"/>
        <v>-----&gt;</v>
      </c>
      <c r="AM14" s="100" t="str">
        <f t="shared" si="5"/>
        <v/>
      </c>
      <c r="AN14" s="100" t="str">
        <f t="shared" si="5"/>
        <v/>
      </c>
      <c r="AO14" s="100" t="str">
        <f t="shared" si="5"/>
        <v/>
      </c>
      <c r="AP14" s="100" t="str">
        <f t="shared" si="5"/>
        <v/>
      </c>
      <c r="AQ14" s="100" t="str">
        <f t="shared" si="5"/>
        <v/>
      </c>
      <c r="AR14" s="100" t="str">
        <f t="shared" si="5"/>
        <v/>
      </c>
      <c r="AS14" s="100" t="str">
        <f t="shared" si="5"/>
        <v/>
      </c>
      <c r="AT14" s="100" t="str">
        <f t="shared" si="5"/>
        <v/>
      </c>
      <c r="AU14" s="102"/>
    </row>
    <row r="15" spans="1:47" ht="18.95" customHeight="1">
      <c r="A15" s="73" t="s">
        <v>55</v>
      </c>
      <c r="B15" s="86"/>
      <c r="C15" s="54">
        <f>+$D$5*C$10*$B15</f>
        <v>0</v>
      </c>
      <c r="D15" s="54">
        <f t="shared" si="7"/>
        <v>0</v>
      </c>
      <c r="E15" s="54">
        <f t="shared" si="7"/>
        <v>0</v>
      </c>
      <c r="F15" s="55">
        <f>SUM(C15:E15)</f>
        <v>0</v>
      </c>
      <c r="G15" s="72"/>
      <c r="H15" s="430"/>
      <c r="I15" s="98" t="s">
        <v>91</v>
      </c>
      <c r="J15" s="99">
        <v>1800</v>
      </c>
      <c r="K15" s="123">
        <v>2300</v>
      </c>
      <c r="L15" s="129">
        <f t="shared" si="6"/>
        <v>5</v>
      </c>
      <c r="M15" s="126" t="str">
        <f t="shared" si="3"/>
        <v/>
      </c>
      <c r="N15" s="100" t="str">
        <f t="shared" si="3"/>
        <v/>
      </c>
      <c r="O15" s="100" t="str">
        <f t="shared" si="3"/>
        <v/>
      </c>
      <c r="P15" s="100" t="str">
        <f t="shared" si="3"/>
        <v/>
      </c>
      <c r="Q15" s="100" t="str">
        <f t="shared" si="3"/>
        <v/>
      </c>
      <c r="R15" s="100" t="str">
        <f t="shared" si="3"/>
        <v/>
      </c>
      <c r="S15" s="100" t="str">
        <f t="shared" si="3"/>
        <v/>
      </c>
      <c r="T15" s="100" t="str">
        <f t="shared" si="3"/>
        <v/>
      </c>
      <c r="U15" s="100" t="str">
        <f t="shared" si="3"/>
        <v/>
      </c>
      <c r="V15" s="100" t="str">
        <f t="shared" si="3"/>
        <v/>
      </c>
      <c r="W15" s="100" t="str">
        <f t="shared" si="4"/>
        <v/>
      </c>
      <c r="X15" s="100" t="str">
        <f t="shared" si="4"/>
        <v/>
      </c>
      <c r="Y15" s="100" t="str">
        <f t="shared" si="4"/>
        <v/>
      </c>
      <c r="Z15" s="100" t="str">
        <f t="shared" si="4"/>
        <v/>
      </c>
      <c r="AA15" s="100" t="str">
        <f t="shared" si="4"/>
        <v/>
      </c>
      <c r="AB15" s="100" t="str">
        <f t="shared" si="4"/>
        <v/>
      </c>
      <c r="AC15" s="100" t="str">
        <f t="shared" si="4"/>
        <v/>
      </c>
      <c r="AD15" s="100" t="str">
        <f t="shared" si="4"/>
        <v/>
      </c>
      <c r="AE15" s="100" t="str">
        <f t="shared" si="4"/>
        <v/>
      </c>
      <c r="AF15" s="100" t="str">
        <f t="shared" si="4"/>
        <v/>
      </c>
      <c r="AG15" s="100" t="str">
        <f t="shared" si="5"/>
        <v/>
      </c>
      <c r="AH15" s="100" t="str">
        <f t="shared" si="5"/>
        <v/>
      </c>
      <c r="AI15" s="100" t="str">
        <f t="shared" si="5"/>
        <v>&lt;-----</v>
      </c>
      <c r="AJ15" s="100" t="str">
        <f>IF(AND(AJ$3&gt;$J15,AJ$4&lt;$K15),"-------------",IF(AJ$3=$J15,"&lt;-----",IF(AJ$4=$K15,"-----&gt;","")))</f>
        <v>-------------</v>
      </c>
      <c r="AK15" s="100" t="str">
        <f t="shared" si="5"/>
        <v>-------</v>
      </c>
      <c r="AL15" s="100" t="str">
        <f t="shared" si="5"/>
        <v>-------</v>
      </c>
      <c r="AM15" s="100" t="str">
        <f t="shared" si="5"/>
        <v>-------</v>
      </c>
      <c r="AN15" s="100" t="str">
        <f t="shared" si="5"/>
        <v>-------</v>
      </c>
      <c r="AO15" s="100" t="str">
        <f t="shared" si="5"/>
        <v>-------</v>
      </c>
      <c r="AP15" s="100" t="str">
        <f>IF(AND(AP$3&gt;$J15,AP$4&lt;$K15),"-------------",IF(AP$3=$J15,"&lt;-----",IF(AP$4=$K15,"-----&gt;","")))</f>
        <v>-------------</v>
      </c>
      <c r="AQ15" s="100" t="str">
        <f>IF(AND(AQ$3&gt;$J15,AQ$4&lt;$K15),"---------",IF(AQ$3=$J15,"&lt;-----",IF(AQ$4=$K15,"---------&gt;","")))</f>
        <v>---------</v>
      </c>
      <c r="AR15" s="100" t="str">
        <f t="shared" si="5"/>
        <v>-----&gt;</v>
      </c>
      <c r="AS15" s="100" t="str">
        <f t="shared" si="5"/>
        <v/>
      </c>
      <c r="AT15" s="100" t="str">
        <f t="shared" si="5"/>
        <v/>
      </c>
      <c r="AU15" s="102"/>
    </row>
    <row r="16" spans="1:47" ht="18.95" customHeight="1">
      <c r="A16" s="74" t="s">
        <v>22</v>
      </c>
      <c r="B16" s="83">
        <f>SUM(B11:B15)</f>
        <v>1</v>
      </c>
      <c r="C16" s="80">
        <f>SUM(C11:C15)</f>
        <v>3300000</v>
      </c>
      <c r="D16" s="80">
        <f>SUM(D11:D15)</f>
        <v>4200000</v>
      </c>
      <c r="E16" s="80">
        <f>SUM(E11:E15)</f>
        <v>2500000</v>
      </c>
      <c r="F16" s="55">
        <f>SUM(F11:F15)</f>
        <v>10000000</v>
      </c>
      <c r="G16" s="76"/>
      <c r="H16" s="430"/>
      <c r="I16" s="98" t="s">
        <v>92</v>
      </c>
      <c r="J16" s="99"/>
      <c r="K16" s="123"/>
      <c r="L16" s="129">
        <f t="shared" si="6"/>
        <v>0</v>
      </c>
      <c r="M16" s="126" t="str">
        <f t="shared" ref="M16:V21" si="8">IF(AND(M$3&gt;$J16,M$4&lt;$K16),"-------",IF(M$3=$J16,"&lt;-----",IF(M$4=$K16,"-----&gt;","")))</f>
        <v/>
      </c>
      <c r="N16" s="100" t="str">
        <f t="shared" si="8"/>
        <v/>
      </c>
      <c r="O16" s="100" t="str">
        <f t="shared" si="8"/>
        <v/>
      </c>
      <c r="P16" s="100" t="str">
        <f t="shared" si="8"/>
        <v/>
      </c>
      <c r="Q16" s="100" t="str">
        <f t="shared" si="8"/>
        <v/>
      </c>
      <c r="R16" s="100" t="str">
        <f t="shared" si="8"/>
        <v/>
      </c>
      <c r="S16" s="100" t="str">
        <f t="shared" si="8"/>
        <v/>
      </c>
      <c r="T16" s="100" t="str">
        <f t="shared" si="8"/>
        <v/>
      </c>
      <c r="U16" s="100" t="str">
        <f t="shared" si="8"/>
        <v/>
      </c>
      <c r="V16" s="100" t="str">
        <f t="shared" si="8"/>
        <v/>
      </c>
      <c r="W16" s="100" t="str">
        <f t="shared" ref="W16:AF21" si="9">IF(AND(W$3&gt;$J16,W$4&lt;$K16),"-------",IF(W$3=$J16,"&lt;-----",IF(W$4=$K16,"-----&gt;","")))</f>
        <v/>
      </c>
      <c r="X16" s="100" t="str">
        <f t="shared" si="9"/>
        <v/>
      </c>
      <c r="Y16" s="100" t="str">
        <f t="shared" si="9"/>
        <v/>
      </c>
      <c r="Z16" s="100" t="str">
        <f t="shared" si="9"/>
        <v/>
      </c>
      <c r="AA16" s="100" t="str">
        <f t="shared" si="9"/>
        <v/>
      </c>
      <c r="AB16" s="100" t="str">
        <f t="shared" si="9"/>
        <v/>
      </c>
      <c r="AC16" s="100" t="str">
        <f t="shared" si="9"/>
        <v/>
      </c>
      <c r="AD16" s="100" t="str">
        <f t="shared" si="9"/>
        <v/>
      </c>
      <c r="AE16" s="100" t="str">
        <f t="shared" si="9"/>
        <v/>
      </c>
      <c r="AF16" s="100" t="str">
        <f t="shared" si="9"/>
        <v/>
      </c>
      <c r="AG16" s="100" t="str">
        <f t="shared" ref="AG16:AT21" si="10">IF(AND(AG$3&gt;$J16,AG$4&lt;$K16),"-------",IF(AG$3=$J16,"&lt;-----",IF(AG$4=$K16,"-----&gt;","")))</f>
        <v/>
      </c>
      <c r="AH16" s="100" t="str">
        <f t="shared" si="10"/>
        <v/>
      </c>
      <c r="AI16" s="100" t="str">
        <f t="shared" si="10"/>
        <v/>
      </c>
      <c r="AJ16" s="100" t="str">
        <f t="shared" si="10"/>
        <v/>
      </c>
      <c r="AK16" s="100" t="str">
        <f t="shared" si="10"/>
        <v/>
      </c>
      <c r="AL16" s="100" t="str">
        <f t="shared" si="10"/>
        <v/>
      </c>
      <c r="AM16" s="100" t="str">
        <f t="shared" si="10"/>
        <v/>
      </c>
      <c r="AN16" s="100" t="str">
        <f t="shared" si="10"/>
        <v/>
      </c>
      <c r="AO16" s="100" t="str">
        <f t="shared" si="10"/>
        <v/>
      </c>
      <c r="AP16" s="100" t="str">
        <f t="shared" si="10"/>
        <v/>
      </c>
      <c r="AQ16" s="100" t="str">
        <f t="shared" si="10"/>
        <v/>
      </c>
      <c r="AR16" s="100" t="str">
        <f t="shared" si="10"/>
        <v/>
      </c>
      <c r="AS16" s="100" t="str">
        <f t="shared" si="10"/>
        <v/>
      </c>
      <c r="AT16" s="100" t="str">
        <f t="shared" si="10"/>
        <v/>
      </c>
      <c r="AU16" s="102"/>
    </row>
    <row r="17" spans="1:47" ht="18.95" customHeight="1">
      <c r="F17" s="70"/>
      <c r="G17" s="148"/>
      <c r="H17" s="430"/>
      <c r="I17" s="98"/>
      <c r="J17" s="99"/>
      <c r="K17" s="123"/>
      <c r="L17" s="129">
        <f t="shared" si="6"/>
        <v>0</v>
      </c>
      <c r="M17" s="126" t="str">
        <f t="shared" si="8"/>
        <v/>
      </c>
      <c r="N17" s="100" t="str">
        <f t="shared" si="8"/>
        <v/>
      </c>
      <c r="O17" s="100" t="str">
        <f t="shared" si="8"/>
        <v/>
      </c>
      <c r="P17" s="100" t="str">
        <f t="shared" si="8"/>
        <v/>
      </c>
      <c r="Q17" s="100" t="str">
        <f t="shared" si="8"/>
        <v/>
      </c>
      <c r="R17" s="100" t="str">
        <f t="shared" si="8"/>
        <v/>
      </c>
      <c r="S17" s="100" t="str">
        <f t="shared" si="8"/>
        <v/>
      </c>
      <c r="T17" s="100" t="str">
        <f t="shared" si="8"/>
        <v/>
      </c>
      <c r="U17" s="100" t="str">
        <f t="shared" si="8"/>
        <v/>
      </c>
      <c r="V17" s="100" t="str">
        <f t="shared" si="8"/>
        <v/>
      </c>
      <c r="W17" s="100" t="str">
        <f t="shared" si="9"/>
        <v/>
      </c>
      <c r="X17" s="100" t="str">
        <f t="shared" si="9"/>
        <v/>
      </c>
      <c r="Y17" s="100" t="str">
        <f t="shared" si="9"/>
        <v/>
      </c>
      <c r="Z17" s="100" t="str">
        <f t="shared" si="9"/>
        <v/>
      </c>
      <c r="AA17" s="100" t="str">
        <f t="shared" si="9"/>
        <v/>
      </c>
      <c r="AB17" s="100" t="str">
        <f t="shared" si="9"/>
        <v/>
      </c>
      <c r="AC17" s="100" t="str">
        <f t="shared" si="9"/>
        <v/>
      </c>
      <c r="AD17" s="100" t="str">
        <f t="shared" si="9"/>
        <v/>
      </c>
      <c r="AE17" s="100" t="str">
        <f t="shared" si="9"/>
        <v/>
      </c>
      <c r="AF17" s="100" t="str">
        <f t="shared" si="9"/>
        <v/>
      </c>
      <c r="AG17" s="100" t="str">
        <f t="shared" si="10"/>
        <v/>
      </c>
      <c r="AH17" s="100" t="str">
        <f t="shared" si="10"/>
        <v/>
      </c>
      <c r="AI17" s="100" t="str">
        <f t="shared" si="10"/>
        <v/>
      </c>
      <c r="AJ17" s="100" t="str">
        <f t="shared" si="10"/>
        <v/>
      </c>
      <c r="AK17" s="100" t="str">
        <f t="shared" si="10"/>
        <v/>
      </c>
      <c r="AL17" s="100" t="str">
        <f t="shared" si="10"/>
        <v/>
      </c>
      <c r="AM17" s="100" t="str">
        <f t="shared" si="10"/>
        <v/>
      </c>
      <c r="AN17" s="100" t="str">
        <f t="shared" si="10"/>
        <v/>
      </c>
      <c r="AO17" s="100" t="str">
        <f t="shared" si="10"/>
        <v/>
      </c>
      <c r="AP17" s="100" t="str">
        <f t="shared" si="10"/>
        <v/>
      </c>
      <c r="AQ17" s="100" t="str">
        <f t="shared" si="10"/>
        <v/>
      </c>
      <c r="AR17" s="100" t="str">
        <f t="shared" si="10"/>
        <v/>
      </c>
      <c r="AS17" s="100" t="str">
        <f t="shared" si="10"/>
        <v/>
      </c>
      <c r="AT17" s="100" t="str">
        <f t="shared" si="10"/>
        <v/>
      </c>
      <c r="AU17" s="102"/>
    </row>
    <row r="18" spans="1:47" ht="18.95" customHeight="1">
      <c r="A18" s="413" t="s">
        <v>76</v>
      </c>
      <c r="B18" s="413"/>
      <c r="C18" s="420" t="s">
        <v>59</v>
      </c>
      <c r="D18" s="421"/>
      <c r="E18" s="420" t="s">
        <v>62</v>
      </c>
      <c r="F18" s="422"/>
      <c r="G18" s="148"/>
      <c r="H18" s="430"/>
      <c r="I18" s="98"/>
      <c r="J18" s="99"/>
      <c r="K18" s="123"/>
      <c r="L18" s="129">
        <f t="shared" si="6"/>
        <v>0</v>
      </c>
      <c r="M18" s="126" t="str">
        <f t="shared" si="8"/>
        <v/>
      </c>
      <c r="N18" s="100" t="str">
        <f t="shared" si="8"/>
        <v/>
      </c>
      <c r="O18" s="100" t="str">
        <f t="shared" si="8"/>
        <v/>
      </c>
      <c r="P18" s="100" t="str">
        <f t="shared" si="8"/>
        <v/>
      </c>
      <c r="Q18" s="100" t="str">
        <f t="shared" si="8"/>
        <v/>
      </c>
      <c r="R18" s="100" t="str">
        <f t="shared" si="8"/>
        <v/>
      </c>
      <c r="S18" s="100" t="str">
        <f t="shared" si="8"/>
        <v/>
      </c>
      <c r="T18" s="100" t="str">
        <f t="shared" si="8"/>
        <v/>
      </c>
      <c r="U18" s="100" t="str">
        <f t="shared" si="8"/>
        <v/>
      </c>
      <c r="V18" s="100" t="str">
        <f t="shared" si="8"/>
        <v/>
      </c>
      <c r="W18" s="100" t="str">
        <f t="shared" si="9"/>
        <v/>
      </c>
      <c r="X18" s="100" t="str">
        <f t="shared" si="9"/>
        <v/>
      </c>
      <c r="Y18" s="100" t="str">
        <f t="shared" si="9"/>
        <v/>
      </c>
      <c r="Z18" s="100" t="str">
        <f t="shared" si="9"/>
        <v/>
      </c>
      <c r="AA18" s="100" t="str">
        <f t="shared" si="9"/>
        <v/>
      </c>
      <c r="AB18" s="100" t="str">
        <f t="shared" si="9"/>
        <v/>
      </c>
      <c r="AC18" s="100" t="str">
        <f t="shared" si="9"/>
        <v/>
      </c>
      <c r="AD18" s="100" t="str">
        <f t="shared" si="9"/>
        <v/>
      </c>
      <c r="AE18" s="100" t="str">
        <f t="shared" si="9"/>
        <v/>
      </c>
      <c r="AF18" s="100" t="str">
        <f t="shared" si="9"/>
        <v/>
      </c>
      <c r="AG18" s="100" t="str">
        <f t="shared" si="10"/>
        <v/>
      </c>
      <c r="AH18" s="100" t="str">
        <f t="shared" si="10"/>
        <v/>
      </c>
      <c r="AI18" s="100" t="str">
        <f t="shared" si="10"/>
        <v/>
      </c>
      <c r="AJ18" s="100" t="str">
        <f t="shared" si="10"/>
        <v/>
      </c>
      <c r="AK18" s="100" t="str">
        <f t="shared" si="10"/>
        <v/>
      </c>
      <c r="AL18" s="100" t="str">
        <f t="shared" si="10"/>
        <v/>
      </c>
      <c r="AM18" s="100" t="str">
        <f t="shared" si="10"/>
        <v/>
      </c>
      <c r="AN18" s="100" t="str">
        <f t="shared" si="10"/>
        <v/>
      </c>
      <c r="AO18" s="100" t="str">
        <f t="shared" si="10"/>
        <v/>
      </c>
      <c r="AP18" s="100" t="str">
        <f t="shared" si="10"/>
        <v/>
      </c>
      <c r="AQ18" s="100" t="str">
        <f t="shared" si="10"/>
        <v/>
      </c>
      <c r="AR18" s="100" t="str">
        <f t="shared" si="10"/>
        <v/>
      </c>
      <c r="AS18" s="100" t="str">
        <f t="shared" si="10"/>
        <v/>
      </c>
      <c r="AT18" s="100" t="str">
        <f t="shared" si="10"/>
        <v/>
      </c>
      <c r="AU18" s="102"/>
    </row>
    <row r="19" spans="1:47" ht="18.95" customHeight="1">
      <c r="A19" s="414"/>
      <c r="B19" s="414"/>
      <c r="C19" s="82" t="s">
        <v>61</v>
      </c>
      <c r="D19" s="82" t="s">
        <v>60</v>
      </c>
      <c r="E19" s="82" t="s">
        <v>61</v>
      </c>
      <c r="F19" s="145" t="s">
        <v>60</v>
      </c>
      <c r="G19" s="149"/>
      <c r="H19" s="431"/>
      <c r="I19" s="105"/>
      <c r="J19" s="106"/>
      <c r="K19" s="124"/>
      <c r="L19" s="130">
        <f t="shared" si="6"/>
        <v>0</v>
      </c>
      <c r="M19" s="127" t="str">
        <f t="shared" si="8"/>
        <v/>
      </c>
      <c r="N19" s="107" t="str">
        <f t="shared" si="8"/>
        <v/>
      </c>
      <c r="O19" s="107" t="str">
        <f t="shared" si="8"/>
        <v/>
      </c>
      <c r="P19" s="107" t="str">
        <f t="shared" si="8"/>
        <v/>
      </c>
      <c r="Q19" s="107" t="str">
        <f t="shared" si="8"/>
        <v/>
      </c>
      <c r="R19" s="107" t="str">
        <f t="shared" si="8"/>
        <v/>
      </c>
      <c r="S19" s="107" t="str">
        <f t="shared" si="8"/>
        <v/>
      </c>
      <c r="T19" s="107" t="str">
        <f t="shared" si="8"/>
        <v/>
      </c>
      <c r="U19" s="107" t="str">
        <f t="shared" si="8"/>
        <v/>
      </c>
      <c r="V19" s="107" t="str">
        <f t="shared" si="8"/>
        <v/>
      </c>
      <c r="W19" s="107" t="str">
        <f t="shared" si="9"/>
        <v/>
      </c>
      <c r="X19" s="107" t="str">
        <f t="shared" si="9"/>
        <v/>
      </c>
      <c r="Y19" s="107" t="str">
        <f t="shared" si="9"/>
        <v/>
      </c>
      <c r="Z19" s="107" t="str">
        <f t="shared" si="9"/>
        <v/>
      </c>
      <c r="AA19" s="107" t="str">
        <f t="shared" si="9"/>
        <v/>
      </c>
      <c r="AB19" s="107" t="str">
        <f t="shared" si="9"/>
        <v/>
      </c>
      <c r="AC19" s="107" t="str">
        <f t="shared" si="9"/>
        <v/>
      </c>
      <c r="AD19" s="107" t="str">
        <f t="shared" si="9"/>
        <v/>
      </c>
      <c r="AE19" s="107" t="str">
        <f t="shared" si="9"/>
        <v/>
      </c>
      <c r="AF19" s="107" t="str">
        <f t="shared" si="9"/>
        <v/>
      </c>
      <c r="AG19" s="107" t="str">
        <f t="shared" si="10"/>
        <v/>
      </c>
      <c r="AH19" s="107" t="str">
        <f t="shared" si="10"/>
        <v/>
      </c>
      <c r="AI19" s="107" t="str">
        <f t="shared" si="10"/>
        <v/>
      </c>
      <c r="AJ19" s="107" t="str">
        <f t="shared" si="10"/>
        <v/>
      </c>
      <c r="AK19" s="107" t="str">
        <f t="shared" si="10"/>
        <v/>
      </c>
      <c r="AL19" s="107" t="str">
        <f t="shared" si="10"/>
        <v/>
      </c>
      <c r="AM19" s="107" t="str">
        <f t="shared" si="10"/>
        <v/>
      </c>
      <c r="AN19" s="107" t="str">
        <f t="shared" si="10"/>
        <v/>
      </c>
      <c r="AO19" s="107" t="str">
        <f t="shared" si="10"/>
        <v/>
      </c>
      <c r="AP19" s="107" t="str">
        <f t="shared" si="10"/>
        <v/>
      </c>
      <c r="AQ19" s="107" t="str">
        <f t="shared" si="10"/>
        <v/>
      </c>
      <c r="AR19" s="107" t="str">
        <f t="shared" si="10"/>
        <v/>
      </c>
      <c r="AS19" s="107" t="str">
        <f t="shared" si="10"/>
        <v/>
      </c>
      <c r="AT19" s="107" t="str">
        <f t="shared" si="10"/>
        <v/>
      </c>
      <c r="AU19" s="108"/>
    </row>
    <row r="20" spans="1:47" ht="18.95" customHeight="1">
      <c r="A20" s="71" t="s">
        <v>51</v>
      </c>
      <c r="B20" s="86">
        <f>B11</f>
        <v>0.188</v>
      </c>
      <c r="C20" s="54">
        <f>($C$5*B20)*3</f>
        <v>39.480000000000004</v>
      </c>
      <c r="D20" s="409">
        <f>C20+C21</f>
        <v>52.010000000000005</v>
      </c>
      <c r="E20" s="178">
        <f>(SUM(M5:T5))/2</f>
        <v>10</v>
      </c>
      <c r="F20" s="411">
        <f>E20+E21</f>
        <v>25</v>
      </c>
      <c r="G20" s="149"/>
      <c r="H20" s="429" t="s">
        <v>64</v>
      </c>
      <c r="I20" s="135" t="s">
        <v>79</v>
      </c>
      <c r="J20" s="136">
        <v>800</v>
      </c>
      <c r="K20" s="137">
        <v>1300</v>
      </c>
      <c r="L20" s="128">
        <f t="shared" si="6"/>
        <v>5</v>
      </c>
      <c r="M20" s="131" t="str">
        <f t="shared" si="8"/>
        <v/>
      </c>
      <c r="N20" s="115" t="str">
        <f t="shared" si="8"/>
        <v/>
      </c>
      <c r="O20" s="115" t="str">
        <f t="shared" si="8"/>
        <v>&lt;-----</v>
      </c>
      <c r="P20" s="115" t="str">
        <f t="shared" si="8"/>
        <v>-------</v>
      </c>
      <c r="Q20" s="115" t="str">
        <f t="shared" si="8"/>
        <v>-------</v>
      </c>
      <c r="R20" s="115" t="str">
        <f>IF(AND(R$3&gt;$J20,R$4&lt;$K20),"------------",IF(R$3=$J20,"&lt;-----",IF(R$4=$K20,"-----&gt;","")))</f>
        <v>------------</v>
      </c>
      <c r="S20" s="115" t="str">
        <f t="shared" si="8"/>
        <v>-------</v>
      </c>
      <c r="T20" s="115" t="str">
        <f t="shared" si="8"/>
        <v>-------</v>
      </c>
      <c r="U20" s="115" t="str">
        <f t="shared" si="8"/>
        <v>-------</v>
      </c>
      <c r="V20" s="115" t="str">
        <f t="shared" si="8"/>
        <v>-------</v>
      </c>
      <c r="W20" s="115" t="str">
        <f t="shared" si="9"/>
        <v>-------</v>
      </c>
      <c r="X20" s="115" t="str">
        <f>IF(AND(X$3&gt;$J20,X$4&lt;$K20),"-------",IF(X$3=$J20,"&lt;-----",IF(X$4=$K20,"----------&gt;","")))</f>
        <v>----------&gt;</v>
      </c>
      <c r="Y20" s="115" t="str">
        <f t="shared" si="9"/>
        <v/>
      </c>
      <c r="Z20" s="115" t="str">
        <f t="shared" si="9"/>
        <v/>
      </c>
      <c r="AA20" s="115" t="str">
        <f t="shared" si="9"/>
        <v/>
      </c>
      <c r="AB20" s="115" t="str">
        <f t="shared" si="9"/>
        <v/>
      </c>
      <c r="AC20" s="115" t="str">
        <f t="shared" si="9"/>
        <v/>
      </c>
      <c r="AD20" s="115" t="str">
        <f t="shared" si="9"/>
        <v/>
      </c>
      <c r="AE20" s="115" t="str">
        <f t="shared" si="9"/>
        <v/>
      </c>
      <c r="AF20" s="115" t="str">
        <f t="shared" si="9"/>
        <v/>
      </c>
      <c r="AG20" s="115" t="str">
        <f t="shared" si="10"/>
        <v/>
      </c>
      <c r="AH20" s="115" t="str">
        <f t="shared" si="10"/>
        <v/>
      </c>
      <c r="AI20" s="115" t="str">
        <f t="shared" si="10"/>
        <v/>
      </c>
      <c r="AJ20" s="115" t="str">
        <f t="shared" si="10"/>
        <v/>
      </c>
      <c r="AK20" s="115" t="str">
        <f t="shared" si="10"/>
        <v/>
      </c>
      <c r="AL20" s="115" t="str">
        <f t="shared" si="10"/>
        <v/>
      </c>
      <c r="AM20" s="115" t="str">
        <f t="shared" si="10"/>
        <v/>
      </c>
      <c r="AN20" s="115" t="str">
        <f t="shared" si="10"/>
        <v/>
      </c>
      <c r="AO20" s="115" t="str">
        <f t="shared" si="10"/>
        <v/>
      </c>
      <c r="AP20" s="115" t="str">
        <f t="shared" si="10"/>
        <v/>
      </c>
      <c r="AQ20" s="115" t="str">
        <f t="shared" si="10"/>
        <v/>
      </c>
      <c r="AR20" s="115" t="str">
        <f t="shared" si="10"/>
        <v/>
      </c>
      <c r="AS20" s="115" t="str">
        <f t="shared" si="10"/>
        <v/>
      </c>
      <c r="AT20" s="115" t="str">
        <f t="shared" si="10"/>
        <v/>
      </c>
      <c r="AU20" s="117"/>
    </row>
    <row r="21" spans="1:47" ht="18.95" customHeight="1">
      <c r="A21" s="73" t="s">
        <v>52</v>
      </c>
      <c r="B21" s="86">
        <f>B12</f>
        <v>0.17899999999999999</v>
      </c>
      <c r="C21" s="54">
        <f>$C$5*B21</f>
        <v>12.53</v>
      </c>
      <c r="D21" s="410"/>
      <c r="E21" s="178">
        <f>(SUM(U5:Z5))/2</f>
        <v>15</v>
      </c>
      <c r="F21" s="412"/>
      <c r="G21" s="149"/>
      <c r="H21" s="430"/>
      <c r="I21" s="138" t="s">
        <v>80</v>
      </c>
      <c r="J21" s="139">
        <v>1530</v>
      </c>
      <c r="K21" s="140">
        <v>2000</v>
      </c>
      <c r="L21" s="129">
        <f t="shared" si="6"/>
        <v>4.5</v>
      </c>
      <c r="M21" s="126" t="str">
        <f t="shared" si="8"/>
        <v/>
      </c>
      <c r="N21" s="100" t="str">
        <f t="shared" si="8"/>
        <v/>
      </c>
      <c r="O21" s="100" t="str">
        <f t="shared" si="8"/>
        <v/>
      </c>
      <c r="P21" s="100" t="str">
        <f t="shared" si="8"/>
        <v/>
      </c>
      <c r="Q21" s="100" t="str">
        <f t="shared" si="8"/>
        <v/>
      </c>
      <c r="R21" s="100" t="str">
        <f t="shared" si="8"/>
        <v/>
      </c>
      <c r="S21" s="100" t="str">
        <f t="shared" si="8"/>
        <v/>
      </c>
      <c r="T21" s="100" t="str">
        <f t="shared" si="8"/>
        <v/>
      </c>
      <c r="U21" s="100" t="str">
        <f t="shared" si="8"/>
        <v/>
      </c>
      <c r="V21" s="100" t="str">
        <f t="shared" si="8"/>
        <v/>
      </c>
      <c r="W21" s="100" t="str">
        <f t="shared" si="9"/>
        <v/>
      </c>
      <c r="X21" s="100" t="str">
        <f t="shared" si="9"/>
        <v/>
      </c>
      <c r="Y21" s="100" t="str">
        <f t="shared" si="9"/>
        <v/>
      </c>
      <c r="Z21" s="100" t="str">
        <f t="shared" si="9"/>
        <v/>
      </c>
      <c r="AA21" s="100" t="str">
        <f t="shared" si="9"/>
        <v/>
      </c>
      <c r="AB21" s="100" t="str">
        <f t="shared" si="9"/>
        <v/>
      </c>
      <c r="AC21" s="100" t="str">
        <f t="shared" si="9"/>
        <v/>
      </c>
      <c r="AD21" s="100" t="str">
        <f>IF(AND(AD$3&gt;$J21,AD$4&lt;$K21),"-------",IF(AD$3=$J21,"&lt;----------",IF(AD$4=$K21,"-----&gt;","")))</f>
        <v>&lt;----------</v>
      </c>
      <c r="AE21" s="100" t="str">
        <f t="shared" si="9"/>
        <v>-------</v>
      </c>
      <c r="AF21" s="100" t="str">
        <f t="shared" si="9"/>
        <v>-------</v>
      </c>
      <c r="AG21" s="100" t="str">
        <f t="shared" si="10"/>
        <v>-------</v>
      </c>
      <c r="AH21" s="100" t="str">
        <f t="shared" si="10"/>
        <v>-------</v>
      </c>
      <c r="AI21" s="100" t="str">
        <f t="shared" si="10"/>
        <v>-------</v>
      </c>
      <c r="AJ21" s="100" t="str">
        <f>IF(AND(AJ$3&gt;$J21,AJ$4&lt;$K21),"-------------",IF(AJ$3=$J21,"&lt;-----",IF(AJ$4=$K21,"-----&gt;","")))</f>
        <v>-------------</v>
      </c>
      <c r="AK21" s="100" t="str">
        <f t="shared" si="10"/>
        <v>-------</v>
      </c>
      <c r="AL21" s="100" t="str">
        <f t="shared" si="10"/>
        <v>-----&gt;</v>
      </c>
      <c r="AM21" s="100" t="str">
        <f t="shared" si="10"/>
        <v/>
      </c>
      <c r="AN21" s="100" t="str">
        <f t="shared" si="10"/>
        <v/>
      </c>
      <c r="AO21" s="100" t="str">
        <f t="shared" si="10"/>
        <v/>
      </c>
      <c r="AP21" s="100" t="str">
        <f t="shared" si="10"/>
        <v/>
      </c>
      <c r="AQ21" s="100" t="str">
        <f t="shared" si="10"/>
        <v/>
      </c>
      <c r="AR21" s="100" t="str">
        <f t="shared" si="10"/>
        <v/>
      </c>
      <c r="AS21" s="100" t="str">
        <f t="shared" si="10"/>
        <v/>
      </c>
      <c r="AT21" s="100" t="str">
        <f t="shared" si="10"/>
        <v/>
      </c>
      <c r="AU21" s="102"/>
    </row>
    <row r="22" spans="1:47" ht="18.95" customHeight="1">
      <c r="A22" s="73" t="s">
        <v>53</v>
      </c>
      <c r="B22" s="86">
        <f>B13</f>
        <v>0.26400000000000001</v>
      </c>
      <c r="C22" s="54">
        <f>$C$5*B22</f>
        <v>18.48</v>
      </c>
      <c r="D22" s="58"/>
      <c r="E22" s="178">
        <f>(SUM(AA5:AF5))/2</f>
        <v>11</v>
      </c>
      <c r="F22" s="179">
        <f>E22</f>
        <v>11</v>
      </c>
      <c r="G22" s="149"/>
      <c r="H22" s="430"/>
      <c r="I22" s="138" t="s">
        <v>90</v>
      </c>
      <c r="J22" s="139"/>
      <c r="K22" s="140"/>
      <c r="L22" s="129">
        <f t="shared" si="6"/>
        <v>0</v>
      </c>
      <c r="M22" s="126" t="str">
        <f t="shared" ref="M22:T36" si="11">IF(AND(M$3&gt;$J22,M$4&lt;$K22),"-------",IF(M$3=$J22,"&lt;-----",IF(M$4=$K22,"-----&gt;","")))</f>
        <v/>
      </c>
      <c r="N22" s="100" t="str">
        <f t="shared" si="11"/>
        <v/>
      </c>
      <c r="O22" s="100" t="str">
        <f t="shared" si="11"/>
        <v/>
      </c>
      <c r="P22" s="100" t="str">
        <f t="shared" si="11"/>
        <v/>
      </c>
      <c r="Q22" s="100" t="str">
        <f t="shared" si="11"/>
        <v/>
      </c>
      <c r="R22" s="100" t="str">
        <f t="shared" si="11"/>
        <v/>
      </c>
      <c r="S22" s="100" t="str">
        <f t="shared" si="11"/>
        <v/>
      </c>
      <c r="T22" s="100" t="str">
        <f t="shared" si="11"/>
        <v/>
      </c>
      <c r="U22" s="100" t="str">
        <f t="shared" ref="U22:AD26" si="12">IF(AND(U$3&gt;$J22,U$4&lt;$K22),"-------",IF(U$3=$J22,"&lt;-----",IF(U$4=$K22,"-----&gt;","")))</f>
        <v/>
      </c>
      <c r="V22" s="100" t="str">
        <f t="shared" si="12"/>
        <v/>
      </c>
      <c r="W22" s="100" t="str">
        <f t="shared" si="12"/>
        <v/>
      </c>
      <c r="X22" s="100" t="str">
        <f t="shared" si="12"/>
        <v/>
      </c>
      <c r="Y22" s="100" t="str">
        <f t="shared" si="12"/>
        <v/>
      </c>
      <c r="Z22" s="100" t="str">
        <f t="shared" si="12"/>
        <v/>
      </c>
      <c r="AA22" s="100" t="str">
        <f t="shared" si="12"/>
        <v/>
      </c>
      <c r="AB22" s="100" t="str">
        <f t="shared" si="12"/>
        <v/>
      </c>
      <c r="AC22" s="100" t="str">
        <f t="shared" si="12"/>
        <v/>
      </c>
      <c r="AD22" s="100" t="str">
        <f t="shared" si="12"/>
        <v/>
      </c>
      <c r="AE22" s="100" t="str">
        <f t="shared" ref="AE22:AN26" si="13">IF(AND(AE$3&gt;$J22,AE$4&lt;$K22),"-------",IF(AE$3=$J22,"&lt;-----",IF(AE$4=$K22,"-----&gt;","")))</f>
        <v/>
      </c>
      <c r="AF22" s="100" t="str">
        <f t="shared" si="13"/>
        <v/>
      </c>
      <c r="AG22" s="100" t="str">
        <f t="shared" si="13"/>
        <v/>
      </c>
      <c r="AH22" s="100" t="str">
        <f t="shared" si="13"/>
        <v/>
      </c>
      <c r="AI22" s="100" t="str">
        <f t="shared" si="13"/>
        <v/>
      </c>
      <c r="AJ22" s="100" t="str">
        <f t="shared" si="13"/>
        <v/>
      </c>
      <c r="AK22" s="100" t="str">
        <f t="shared" si="13"/>
        <v/>
      </c>
      <c r="AL22" s="100" t="str">
        <f t="shared" si="13"/>
        <v/>
      </c>
      <c r="AM22" s="100" t="str">
        <f t="shared" si="13"/>
        <v/>
      </c>
      <c r="AN22" s="100" t="str">
        <f t="shared" si="13"/>
        <v/>
      </c>
      <c r="AO22" s="100" t="str">
        <f t="shared" ref="AO22:AT26" si="14">IF(AND(AO$3&gt;$J22,AO$4&lt;$K22),"-------",IF(AO$3=$J22,"&lt;-----",IF(AO$4=$K22,"-----&gt;","")))</f>
        <v/>
      </c>
      <c r="AP22" s="100" t="str">
        <f t="shared" si="14"/>
        <v/>
      </c>
      <c r="AQ22" s="100" t="str">
        <f t="shared" si="14"/>
        <v/>
      </c>
      <c r="AR22" s="100" t="str">
        <f t="shared" si="14"/>
        <v/>
      </c>
      <c r="AS22" s="100" t="str">
        <f t="shared" si="14"/>
        <v/>
      </c>
      <c r="AT22" s="100" t="str">
        <f t="shared" si="14"/>
        <v/>
      </c>
      <c r="AU22" s="102"/>
    </row>
    <row r="23" spans="1:47" ht="18.95" customHeight="1">
      <c r="A23" s="73" t="s">
        <v>54</v>
      </c>
      <c r="B23" s="86">
        <f>B14</f>
        <v>0.36899999999999999</v>
      </c>
      <c r="C23" s="54">
        <f>($C$5*B23)/1.5</f>
        <v>17.22</v>
      </c>
      <c r="D23" s="87">
        <f>SUM(C22:C24)</f>
        <v>17.989999999999998</v>
      </c>
      <c r="E23" s="178">
        <f>(SUM(AG5:AL5))/2</f>
        <v>22</v>
      </c>
      <c r="F23" s="179">
        <f>SUM(E23:E24)</f>
        <v>34</v>
      </c>
      <c r="G23" s="149"/>
      <c r="H23" s="430"/>
      <c r="I23" s="138"/>
      <c r="J23" s="139"/>
      <c r="K23" s="140"/>
      <c r="L23" s="129">
        <f t="shared" si="6"/>
        <v>0</v>
      </c>
      <c r="M23" s="126" t="str">
        <f t="shared" si="11"/>
        <v/>
      </c>
      <c r="N23" s="100" t="str">
        <f t="shared" si="11"/>
        <v/>
      </c>
      <c r="O23" s="100" t="str">
        <f t="shared" si="11"/>
        <v/>
      </c>
      <c r="P23" s="100" t="str">
        <f t="shared" si="11"/>
        <v/>
      </c>
      <c r="Q23" s="100" t="str">
        <f t="shared" si="11"/>
        <v/>
      </c>
      <c r="R23" s="100" t="str">
        <f t="shared" si="11"/>
        <v/>
      </c>
      <c r="S23" s="100" t="str">
        <f t="shared" si="11"/>
        <v/>
      </c>
      <c r="T23" s="100" t="str">
        <f t="shared" si="11"/>
        <v/>
      </c>
      <c r="U23" s="100" t="str">
        <f t="shared" si="12"/>
        <v/>
      </c>
      <c r="V23" s="100" t="str">
        <f t="shared" si="12"/>
        <v/>
      </c>
      <c r="W23" s="100" t="str">
        <f t="shared" si="12"/>
        <v/>
      </c>
      <c r="X23" s="100" t="str">
        <f t="shared" si="12"/>
        <v/>
      </c>
      <c r="Y23" s="100" t="str">
        <f t="shared" si="12"/>
        <v/>
      </c>
      <c r="Z23" s="100" t="str">
        <f t="shared" si="12"/>
        <v/>
      </c>
      <c r="AA23" s="100" t="str">
        <f t="shared" si="12"/>
        <v/>
      </c>
      <c r="AB23" s="100" t="str">
        <f t="shared" si="12"/>
        <v/>
      </c>
      <c r="AC23" s="100" t="str">
        <f t="shared" si="12"/>
        <v/>
      </c>
      <c r="AD23" s="100" t="str">
        <f t="shared" si="12"/>
        <v/>
      </c>
      <c r="AE23" s="100" t="str">
        <f t="shared" si="13"/>
        <v/>
      </c>
      <c r="AF23" s="100" t="str">
        <f t="shared" si="13"/>
        <v/>
      </c>
      <c r="AG23" s="100" t="str">
        <f t="shared" si="13"/>
        <v/>
      </c>
      <c r="AH23" s="100" t="str">
        <f t="shared" si="13"/>
        <v/>
      </c>
      <c r="AI23" s="100" t="str">
        <f t="shared" si="13"/>
        <v/>
      </c>
      <c r="AJ23" s="100" t="str">
        <f t="shared" si="13"/>
        <v/>
      </c>
      <c r="AK23" s="100" t="str">
        <f t="shared" si="13"/>
        <v/>
      </c>
      <c r="AL23" s="100" t="str">
        <f t="shared" si="13"/>
        <v/>
      </c>
      <c r="AM23" s="100" t="str">
        <f t="shared" si="13"/>
        <v/>
      </c>
      <c r="AN23" s="100" t="str">
        <f t="shared" si="13"/>
        <v/>
      </c>
      <c r="AO23" s="100" t="str">
        <f t="shared" si="14"/>
        <v/>
      </c>
      <c r="AP23" s="100" t="str">
        <f t="shared" si="14"/>
        <v/>
      </c>
      <c r="AQ23" s="100" t="str">
        <f t="shared" si="14"/>
        <v/>
      </c>
      <c r="AR23" s="100" t="str">
        <f t="shared" si="14"/>
        <v/>
      </c>
      <c r="AS23" s="100" t="str">
        <f t="shared" si="14"/>
        <v/>
      </c>
      <c r="AT23" s="100" t="str">
        <f t="shared" si="14"/>
        <v/>
      </c>
      <c r="AU23" s="102"/>
    </row>
    <row r="24" spans="1:47" ht="18.95" customHeight="1">
      <c r="A24" s="73" t="s">
        <v>55</v>
      </c>
      <c r="B24" s="86">
        <f>B15</f>
        <v>0</v>
      </c>
      <c r="C24" s="54">
        <f>C5-C20-C21-C22-C23</f>
        <v>-17.710000000000004</v>
      </c>
      <c r="D24" s="58"/>
      <c r="E24" s="178">
        <f>(SUM(AM5:AT5))/2</f>
        <v>12</v>
      </c>
      <c r="F24" s="180"/>
      <c r="G24" s="150"/>
      <c r="H24" s="430"/>
      <c r="I24" s="141"/>
      <c r="J24" s="139"/>
      <c r="K24" s="140"/>
      <c r="L24" s="129">
        <f t="shared" si="6"/>
        <v>0</v>
      </c>
      <c r="M24" s="126" t="str">
        <f t="shared" si="11"/>
        <v/>
      </c>
      <c r="N24" s="100" t="str">
        <f t="shared" si="11"/>
        <v/>
      </c>
      <c r="O24" s="100" t="str">
        <f t="shared" si="11"/>
        <v/>
      </c>
      <c r="P24" s="100" t="str">
        <f t="shared" si="11"/>
        <v/>
      </c>
      <c r="Q24" s="100" t="str">
        <f t="shared" si="11"/>
        <v/>
      </c>
      <c r="R24" s="100" t="str">
        <f t="shared" si="11"/>
        <v/>
      </c>
      <c r="S24" s="100" t="str">
        <f t="shared" si="11"/>
        <v/>
      </c>
      <c r="T24" s="100" t="str">
        <f t="shared" si="11"/>
        <v/>
      </c>
      <c r="U24" s="100" t="str">
        <f t="shared" si="12"/>
        <v/>
      </c>
      <c r="V24" s="100" t="str">
        <f t="shared" si="12"/>
        <v/>
      </c>
      <c r="W24" s="100" t="str">
        <f t="shared" si="12"/>
        <v/>
      </c>
      <c r="X24" s="100" t="str">
        <f t="shared" si="12"/>
        <v/>
      </c>
      <c r="Y24" s="100" t="str">
        <f t="shared" si="12"/>
        <v/>
      </c>
      <c r="Z24" s="100" t="str">
        <f t="shared" si="12"/>
        <v/>
      </c>
      <c r="AA24" s="100" t="str">
        <f t="shared" si="12"/>
        <v/>
      </c>
      <c r="AB24" s="100" t="str">
        <f t="shared" si="12"/>
        <v/>
      </c>
      <c r="AC24" s="100" t="str">
        <f t="shared" si="12"/>
        <v/>
      </c>
      <c r="AD24" s="100" t="str">
        <f t="shared" si="12"/>
        <v/>
      </c>
      <c r="AE24" s="100" t="str">
        <f t="shared" si="13"/>
        <v/>
      </c>
      <c r="AF24" s="100" t="str">
        <f t="shared" si="13"/>
        <v/>
      </c>
      <c r="AG24" s="100" t="str">
        <f t="shared" si="13"/>
        <v/>
      </c>
      <c r="AH24" s="100" t="str">
        <f t="shared" si="13"/>
        <v/>
      </c>
      <c r="AI24" s="100" t="str">
        <f t="shared" si="13"/>
        <v/>
      </c>
      <c r="AJ24" s="100" t="str">
        <f t="shared" si="13"/>
        <v/>
      </c>
      <c r="AK24" s="100" t="str">
        <f t="shared" si="13"/>
        <v/>
      </c>
      <c r="AL24" s="100" t="str">
        <f t="shared" si="13"/>
        <v/>
      </c>
      <c r="AM24" s="100" t="str">
        <f t="shared" si="13"/>
        <v/>
      </c>
      <c r="AN24" s="100" t="str">
        <f t="shared" si="13"/>
        <v/>
      </c>
      <c r="AO24" s="100" t="str">
        <f t="shared" si="14"/>
        <v/>
      </c>
      <c r="AP24" s="100" t="str">
        <f t="shared" si="14"/>
        <v/>
      </c>
      <c r="AQ24" s="100" t="str">
        <f t="shared" si="14"/>
        <v/>
      </c>
      <c r="AR24" s="100" t="str">
        <f t="shared" si="14"/>
        <v/>
      </c>
      <c r="AS24" s="100" t="str">
        <f t="shared" si="14"/>
        <v/>
      </c>
      <c r="AT24" s="100" t="str">
        <f t="shared" si="14"/>
        <v/>
      </c>
      <c r="AU24" s="104"/>
    </row>
    <row r="25" spans="1:47" ht="18.95" customHeight="1">
      <c r="A25" s="74" t="s">
        <v>22</v>
      </c>
      <c r="B25" s="75"/>
      <c r="C25" s="55">
        <f>SUM(C20:C24)</f>
        <v>70</v>
      </c>
      <c r="D25" s="55">
        <f>SUM(D20:D24)</f>
        <v>70</v>
      </c>
      <c r="E25" s="56">
        <f>SUM(E20:E24)</f>
        <v>70</v>
      </c>
      <c r="F25" s="146">
        <f>SUM(F20:F24)</f>
        <v>70</v>
      </c>
      <c r="G25" s="150"/>
      <c r="H25" s="430"/>
      <c r="I25" s="141"/>
      <c r="J25" s="139"/>
      <c r="K25" s="140"/>
      <c r="L25" s="129">
        <f t="shared" si="6"/>
        <v>0</v>
      </c>
      <c r="M25" s="126" t="str">
        <f t="shared" si="11"/>
        <v/>
      </c>
      <c r="N25" s="100" t="str">
        <f t="shared" si="11"/>
        <v/>
      </c>
      <c r="O25" s="100" t="str">
        <f t="shared" si="11"/>
        <v/>
      </c>
      <c r="P25" s="100" t="str">
        <f t="shared" si="11"/>
        <v/>
      </c>
      <c r="Q25" s="100" t="str">
        <f t="shared" si="11"/>
        <v/>
      </c>
      <c r="R25" s="100" t="str">
        <f t="shared" si="11"/>
        <v/>
      </c>
      <c r="S25" s="100" t="str">
        <f t="shared" si="11"/>
        <v/>
      </c>
      <c r="T25" s="100" t="str">
        <f t="shared" si="11"/>
        <v/>
      </c>
      <c r="U25" s="100" t="str">
        <f t="shared" si="12"/>
        <v/>
      </c>
      <c r="V25" s="100" t="str">
        <f t="shared" si="12"/>
        <v/>
      </c>
      <c r="W25" s="100" t="str">
        <f t="shared" si="12"/>
        <v/>
      </c>
      <c r="X25" s="100" t="str">
        <f t="shared" si="12"/>
        <v/>
      </c>
      <c r="Y25" s="100" t="str">
        <f t="shared" si="12"/>
        <v/>
      </c>
      <c r="Z25" s="100" t="str">
        <f t="shared" si="12"/>
        <v/>
      </c>
      <c r="AA25" s="100" t="str">
        <f t="shared" si="12"/>
        <v/>
      </c>
      <c r="AB25" s="100" t="str">
        <f t="shared" si="12"/>
        <v/>
      </c>
      <c r="AC25" s="100" t="str">
        <f t="shared" si="12"/>
        <v/>
      </c>
      <c r="AD25" s="100" t="str">
        <f t="shared" si="12"/>
        <v/>
      </c>
      <c r="AE25" s="100" t="str">
        <f t="shared" si="13"/>
        <v/>
      </c>
      <c r="AF25" s="100" t="str">
        <f t="shared" si="13"/>
        <v/>
      </c>
      <c r="AG25" s="100" t="str">
        <f t="shared" si="13"/>
        <v/>
      </c>
      <c r="AH25" s="100" t="str">
        <f t="shared" si="13"/>
        <v/>
      </c>
      <c r="AI25" s="100" t="str">
        <f t="shared" si="13"/>
        <v/>
      </c>
      <c r="AJ25" s="100" t="str">
        <f t="shared" si="13"/>
        <v/>
      </c>
      <c r="AK25" s="100" t="str">
        <f t="shared" si="13"/>
        <v/>
      </c>
      <c r="AL25" s="100" t="str">
        <f t="shared" si="13"/>
        <v/>
      </c>
      <c r="AM25" s="100" t="str">
        <f t="shared" si="13"/>
        <v/>
      </c>
      <c r="AN25" s="100" t="str">
        <f t="shared" si="13"/>
        <v/>
      </c>
      <c r="AO25" s="100" t="str">
        <f t="shared" si="14"/>
        <v/>
      </c>
      <c r="AP25" s="100" t="str">
        <f t="shared" si="14"/>
        <v/>
      </c>
      <c r="AQ25" s="100" t="str">
        <f t="shared" si="14"/>
        <v/>
      </c>
      <c r="AR25" s="100" t="str">
        <f t="shared" si="14"/>
        <v/>
      </c>
      <c r="AS25" s="100" t="str">
        <f t="shared" si="14"/>
        <v/>
      </c>
      <c r="AT25" s="100" t="str">
        <f t="shared" si="14"/>
        <v/>
      </c>
      <c r="AU25" s="104"/>
    </row>
    <row r="26" spans="1:47" ht="18.95" customHeight="1">
      <c r="A26" s="77"/>
      <c r="B26" s="77"/>
      <c r="C26" s="77"/>
      <c r="D26" s="77"/>
      <c r="E26" s="77"/>
      <c r="F26" s="77"/>
      <c r="H26" s="431"/>
      <c r="I26" s="142"/>
      <c r="J26" s="143"/>
      <c r="K26" s="144"/>
      <c r="L26" s="130">
        <f t="shared" si="6"/>
        <v>0</v>
      </c>
      <c r="M26" s="132" t="str">
        <f t="shared" si="11"/>
        <v/>
      </c>
      <c r="N26" s="118" t="str">
        <f t="shared" si="11"/>
        <v/>
      </c>
      <c r="O26" s="107" t="str">
        <f t="shared" si="11"/>
        <v/>
      </c>
      <c r="P26" s="118" t="str">
        <f t="shared" si="11"/>
        <v/>
      </c>
      <c r="Q26" s="118" t="str">
        <f t="shared" si="11"/>
        <v/>
      </c>
      <c r="R26" s="118" t="str">
        <f t="shared" si="11"/>
        <v/>
      </c>
      <c r="S26" s="118" t="str">
        <f t="shared" si="11"/>
        <v/>
      </c>
      <c r="T26" s="118" t="str">
        <f t="shared" si="11"/>
        <v/>
      </c>
      <c r="U26" s="118" t="str">
        <f t="shared" si="12"/>
        <v/>
      </c>
      <c r="V26" s="118" t="str">
        <f t="shared" si="12"/>
        <v/>
      </c>
      <c r="W26" s="118" t="str">
        <f t="shared" si="12"/>
        <v/>
      </c>
      <c r="X26" s="118" t="str">
        <f t="shared" si="12"/>
        <v/>
      </c>
      <c r="Y26" s="118" t="str">
        <f t="shared" si="12"/>
        <v/>
      </c>
      <c r="Z26" s="118" t="str">
        <f t="shared" si="12"/>
        <v/>
      </c>
      <c r="AA26" s="118" t="str">
        <f t="shared" si="12"/>
        <v/>
      </c>
      <c r="AB26" s="118" t="str">
        <f t="shared" si="12"/>
        <v/>
      </c>
      <c r="AC26" s="118" t="str">
        <f t="shared" si="12"/>
        <v/>
      </c>
      <c r="AD26" s="118" t="str">
        <f t="shared" si="12"/>
        <v/>
      </c>
      <c r="AE26" s="118" t="str">
        <f t="shared" si="13"/>
        <v/>
      </c>
      <c r="AF26" s="118" t="str">
        <f t="shared" si="13"/>
        <v/>
      </c>
      <c r="AG26" s="118" t="str">
        <f t="shared" si="13"/>
        <v/>
      </c>
      <c r="AH26" s="118" t="str">
        <f t="shared" si="13"/>
        <v/>
      </c>
      <c r="AI26" s="118" t="str">
        <f t="shared" si="13"/>
        <v/>
      </c>
      <c r="AJ26" s="118" t="str">
        <f t="shared" si="13"/>
        <v/>
      </c>
      <c r="AK26" s="118" t="str">
        <f t="shared" si="13"/>
        <v/>
      </c>
      <c r="AL26" s="118" t="str">
        <f t="shared" si="13"/>
        <v/>
      </c>
      <c r="AM26" s="118" t="str">
        <f t="shared" si="13"/>
        <v/>
      </c>
      <c r="AN26" s="118" t="str">
        <f t="shared" si="13"/>
        <v/>
      </c>
      <c r="AO26" s="118" t="str">
        <f t="shared" si="14"/>
        <v/>
      </c>
      <c r="AP26" s="118" t="str">
        <f t="shared" si="14"/>
        <v/>
      </c>
      <c r="AQ26" s="118" t="str">
        <f t="shared" si="14"/>
        <v/>
      </c>
      <c r="AR26" s="118" t="str">
        <f t="shared" si="14"/>
        <v/>
      </c>
      <c r="AS26" s="118" t="str">
        <f t="shared" si="14"/>
        <v/>
      </c>
      <c r="AT26" s="118" t="str">
        <f t="shared" si="14"/>
        <v/>
      </c>
      <c r="AU26" s="119"/>
    </row>
    <row r="27" spans="1:47" ht="18.95" customHeight="1">
      <c r="A27" s="77"/>
      <c r="B27" s="77"/>
      <c r="C27" s="77"/>
      <c r="D27" s="77"/>
      <c r="E27" s="77"/>
      <c r="F27" s="77"/>
      <c r="H27" s="429" t="s">
        <v>11</v>
      </c>
      <c r="I27" s="120" t="s">
        <v>85</v>
      </c>
      <c r="J27" s="95">
        <v>900</v>
      </c>
      <c r="K27" s="122">
        <v>1300</v>
      </c>
      <c r="L27" s="128">
        <f t="shared" si="6"/>
        <v>4</v>
      </c>
      <c r="M27" s="125" t="str">
        <f t="shared" si="11"/>
        <v/>
      </c>
      <c r="N27" s="96" t="str">
        <f t="shared" si="11"/>
        <v/>
      </c>
      <c r="O27" s="115" t="str">
        <f t="shared" si="11"/>
        <v/>
      </c>
      <c r="P27" s="96" t="str">
        <f t="shared" si="11"/>
        <v/>
      </c>
      <c r="Q27" s="96" t="str">
        <f t="shared" si="11"/>
        <v>&lt;-----</v>
      </c>
      <c r="R27" s="96" t="str">
        <f>IF(AND(R$3&gt;$J27,R$4&lt;$K27),"------------",IF(R$3=$J27,"&lt;-----",IF(R$4=$K27,"-----&gt;","")))</f>
        <v>------------</v>
      </c>
      <c r="S27" s="96" t="str">
        <f t="shared" si="11"/>
        <v>-------</v>
      </c>
      <c r="T27" s="96" t="str">
        <f t="shared" si="11"/>
        <v>-------</v>
      </c>
      <c r="U27" s="96" t="str">
        <f t="shared" ref="U27:AT36" si="15">IF(AND(U$3&gt;$J27,U$4&lt;$K27),"-------",IF(U$3=$J27,"&lt;-----",IF(U$4=$K27,"-----&gt;","")))</f>
        <v>-------</v>
      </c>
      <c r="V27" s="96" t="str">
        <f t="shared" si="15"/>
        <v>-------</v>
      </c>
      <c r="W27" s="96" t="str">
        <f t="shared" si="15"/>
        <v>-------</v>
      </c>
      <c r="X27" s="96" t="str">
        <f>IF(AND(X$3&gt;$J27,X$4&lt;$K27),"-------",IF(X$3=$J27,"&lt;-----",IF(X$4=$K27,"---------&gt;","")))</f>
        <v>---------&gt;</v>
      </c>
      <c r="Y27" s="96" t="str">
        <f t="shared" si="15"/>
        <v/>
      </c>
      <c r="Z27" s="96" t="str">
        <f t="shared" si="15"/>
        <v/>
      </c>
      <c r="AA27" s="96" t="str">
        <f t="shared" si="15"/>
        <v/>
      </c>
      <c r="AB27" s="96" t="str">
        <f t="shared" si="15"/>
        <v/>
      </c>
      <c r="AC27" s="96" t="str">
        <f t="shared" si="15"/>
        <v/>
      </c>
      <c r="AD27" s="96" t="str">
        <f t="shared" si="15"/>
        <v/>
      </c>
      <c r="AE27" s="96" t="str">
        <f t="shared" si="15"/>
        <v/>
      </c>
      <c r="AF27" s="96" t="str">
        <f t="shared" si="15"/>
        <v/>
      </c>
      <c r="AG27" s="96" t="str">
        <f t="shared" si="15"/>
        <v/>
      </c>
      <c r="AH27" s="96" t="str">
        <f t="shared" si="15"/>
        <v/>
      </c>
      <c r="AI27" s="96" t="str">
        <f t="shared" si="15"/>
        <v/>
      </c>
      <c r="AJ27" s="96" t="str">
        <f t="shared" si="15"/>
        <v/>
      </c>
      <c r="AK27" s="96" t="str">
        <f t="shared" si="15"/>
        <v/>
      </c>
      <c r="AL27" s="96" t="str">
        <f t="shared" si="15"/>
        <v/>
      </c>
      <c r="AM27" s="96" t="str">
        <f t="shared" si="15"/>
        <v/>
      </c>
      <c r="AN27" s="96" t="str">
        <f t="shared" si="15"/>
        <v/>
      </c>
      <c r="AO27" s="96" t="str">
        <f t="shared" si="15"/>
        <v/>
      </c>
      <c r="AP27" s="96" t="str">
        <f t="shared" si="15"/>
        <v/>
      </c>
      <c r="AQ27" s="96" t="str">
        <f t="shared" si="15"/>
        <v/>
      </c>
      <c r="AR27" s="96" t="str">
        <f t="shared" si="15"/>
        <v/>
      </c>
      <c r="AS27" s="96" t="str">
        <f t="shared" si="15"/>
        <v/>
      </c>
      <c r="AT27" s="96" t="str">
        <f t="shared" si="15"/>
        <v/>
      </c>
      <c r="AU27" s="121"/>
    </row>
    <row r="28" spans="1:47" ht="18.95" customHeight="1">
      <c r="F28" s="57"/>
      <c r="H28" s="430"/>
      <c r="I28" s="103" t="s">
        <v>86</v>
      </c>
      <c r="J28" s="99">
        <v>1200</v>
      </c>
      <c r="K28" s="123">
        <v>1700</v>
      </c>
      <c r="L28" s="129">
        <f t="shared" si="6"/>
        <v>5</v>
      </c>
      <c r="M28" s="126" t="str">
        <f t="shared" si="11"/>
        <v/>
      </c>
      <c r="N28" s="100" t="str">
        <f t="shared" si="11"/>
        <v/>
      </c>
      <c r="O28" s="100" t="str">
        <f t="shared" si="11"/>
        <v/>
      </c>
      <c r="P28" s="100" t="str">
        <f t="shared" si="11"/>
        <v/>
      </c>
      <c r="Q28" s="100" t="str">
        <f t="shared" si="11"/>
        <v/>
      </c>
      <c r="R28" s="100" t="str">
        <f t="shared" si="11"/>
        <v/>
      </c>
      <c r="S28" s="100" t="str">
        <f t="shared" si="11"/>
        <v/>
      </c>
      <c r="T28" s="100" t="str">
        <f t="shared" si="11"/>
        <v/>
      </c>
      <c r="U28" s="100" t="str">
        <f t="shared" si="15"/>
        <v/>
      </c>
      <c r="V28" s="100" t="str">
        <f t="shared" si="15"/>
        <v/>
      </c>
      <c r="W28" s="100" t="str">
        <f t="shared" si="15"/>
        <v>&lt;-----</v>
      </c>
      <c r="X28" s="100" t="str">
        <f>IF(AND(X$3&gt;$J28,X$4&lt;$K28),"------------",IF(X$3=$J28,"&lt;-----",IF(X$4=$K28,"-----&gt;","")))</f>
        <v>------------</v>
      </c>
      <c r="Y28" s="100" t="str">
        <f t="shared" si="15"/>
        <v>-------</v>
      </c>
      <c r="Z28" s="100" t="str">
        <f t="shared" si="15"/>
        <v>-------</v>
      </c>
      <c r="AA28" s="100" t="str">
        <f t="shared" si="15"/>
        <v>-------</v>
      </c>
      <c r="AB28" s="100" t="str">
        <f t="shared" si="15"/>
        <v>-------</v>
      </c>
      <c r="AC28" s="100" t="str">
        <f t="shared" si="15"/>
        <v>-------</v>
      </c>
      <c r="AD28" s="100" t="str">
        <f>IF(AND(AD$3&gt;$J28,AD$4&lt;$K28),"------------",IF(AD$3=$J28,"&lt;-----",IF(AD$4=$K28,"-----&gt;","")))</f>
        <v>------------</v>
      </c>
      <c r="AE28" s="100" t="str">
        <f t="shared" si="15"/>
        <v>-------</v>
      </c>
      <c r="AF28" s="100" t="str">
        <f t="shared" si="15"/>
        <v>-----&gt;</v>
      </c>
      <c r="AG28" s="100" t="str">
        <f t="shared" si="15"/>
        <v/>
      </c>
      <c r="AH28" s="100" t="str">
        <f t="shared" si="15"/>
        <v/>
      </c>
      <c r="AI28" s="100" t="str">
        <f t="shared" si="15"/>
        <v/>
      </c>
      <c r="AJ28" s="100" t="str">
        <f t="shared" si="15"/>
        <v/>
      </c>
      <c r="AK28" s="100" t="str">
        <f t="shared" si="15"/>
        <v/>
      </c>
      <c r="AL28" s="100" t="str">
        <f t="shared" si="15"/>
        <v/>
      </c>
      <c r="AM28" s="100" t="str">
        <f t="shared" si="15"/>
        <v/>
      </c>
      <c r="AN28" s="100" t="str">
        <f t="shared" si="15"/>
        <v/>
      </c>
      <c r="AO28" s="100" t="str">
        <f t="shared" si="15"/>
        <v/>
      </c>
      <c r="AP28" s="100" t="str">
        <f t="shared" si="15"/>
        <v/>
      </c>
      <c r="AQ28" s="100" t="str">
        <f t="shared" si="15"/>
        <v/>
      </c>
      <c r="AR28" s="100" t="str">
        <f t="shared" si="15"/>
        <v/>
      </c>
      <c r="AS28" s="100" t="str">
        <f t="shared" si="15"/>
        <v/>
      </c>
      <c r="AT28" s="100" t="str">
        <f t="shared" si="15"/>
        <v/>
      </c>
      <c r="AU28" s="104"/>
    </row>
    <row r="29" spans="1:47" ht="18.95" customHeight="1">
      <c r="H29" s="430"/>
      <c r="I29" s="98" t="s">
        <v>87</v>
      </c>
      <c r="J29" s="99">
        <v>1700</v>
      </c>
      <c r="K29" s="123">
        <v>2200</v>
      </c>
      <c r="L29" s="129">
        <f t="shared" si="6"/>
        <v>5</v>
      </c>
      <c r="M29" s="126" t="str">
        <f t="shared" si="11"/>
        <v/>
      </c>
      <c r="N29" s="100" t="str">
        <f t="shared" si="11"/>
        <v/>
      </c>
      <c r="O29" s="100" t="str">
        <f t="shared" si="11"/>
        <v/>
      </c>
      <c r="P29" s="100" t="str">
        <f t="shared" si="11"/>
        <v/>
      </c>
      <c r="Q29" s="100" t="str">
        <f t="shared" si="11"/>
        <v/>
      </c>
      <c r="R29" s="100" t="str">
        <f t="shared" si="11"/>
        <v/>
      </c>
      <c r="S29" s="100" t="str">
        <f t="shared" si="11"/>
        <v/>
      </c>
      <c r="T29" s="100" t="str">
        <f t="shared" si="11"/>
        <v/>
      </c>
      <c r="U29" s="100" t="str">
        <f t="shared" si="15"/>
        <v/>
      </c>
      <c r="V29" s="100" t="str">
        <f t="shared" si="15"/>
        <v/>
      </c>
      <c r="W29" s="100" t="str">
        <f t="shared" si="15"/>
        <v/>
      </c>
      <c r="X29" s="100" t="str">
        <f t="shared" si="15"/>
        <v/>
      </c>
      <c r="Y29" s="100" t="str">
        <f t="shared" si="15"/>
        <v/>
      </c>
      <c r="Z29" s="100" t="str">
        <f t="shared" si="15"/>
        <v/>
      </c>
      <c r="AA29" s="100" t="str">
        <f t="shared" si="15"/>
        <v/>
      </c>
      <c r="AB29" s="100" t="str">
        <f t="shared" si="15"/>
        <v/>
      </c>
      <c r="AC29" s="100" t="str">
        <f t="shared" si="15"/>
        <v/>
      </c>
      <c r="AD29" s="100" t="str">
        <f t="shared" si="15"/>
        <v/>
      </c>
      <c r="AE29" s="100" t="str">
        <f t="shared" si="15"/>
        <v/>
      </c>
      <c r="AF29" s="100" t="str">
        <f t="shared" si="15"/>
        <v/>
      </c>
      <c r="AG29" s="100" t="str">
        <f t="shared" si="15"/>
        <v>&lt;-----</v>
      </c>
      <c r="AH29" s="100" t="str">
        <f t="shared" si="15"/>
        <v>-------</v>
      </c>
      <c r="AI29" s="100" t="str">
        <f t="shared" si="15"/>
        <v>-------</v>
      </c>
      <c r="AJ29" s="100" t="str">
        <f>IF(AND(AJ$3&gt;$J29,AJ$4&lt;$K29),"-------------",IF(AJ$3=$J29,"&lt;-----",IF(AJ$4=$K29,"-----&gt;","")))</f>
        <v>-------------</v>
      </c>
      <c r="AK29" s="100" t="str">
        <f t="shared" si="15"/>
        <v>-------</v>
      </c>
      <c r="AL29" s="100" t="str">
        <f t="shared" si="15"/>
        <v>-------</v>
      </c>
      <c r="AM29" s="100" t="str">
        <f t="shared" si="15"/>
        <v>-------</v>
      </c>
      <c r="AN29" s="100" t="str">
        <f t="shared" si="15"/>
        <v>-------</v>
      </c>
      <c r="AO29" s="100" t="str">
        <f t="shared" si="15"/>
        <v>-------</v>
      </c>
      <c r="AP29" s="100" t="str">
        <f>IF(AND(AP$3&gt;$J29,AP$4&lt;$K29),"-------",IF(AP$3=$J29,"&lt;-----",IF(AP$4=$K29,"---------&gt;","")))</f>
        <v>---------&gt;</v>
      </c>
      <c r="AQ29" s="100" t="str">
        <f t="shared" si="15"/>
        <v/>
      </c>
      <c r="AR29" s="100" t="str">
        <f t="shared" si="15"/>
        <v/>
      </c>
      <c r="AS29" s="100" t="str">
        <f t="shared" si="15"/>
        <v/>
      </c>
      <c r="AT29" s="100" t="str">
        <f t="shared" si="15"/>
        <v/>
      </c>
      <c r="AU29" s="102"/>
    </row>
    <row r="30" spans="1:47" ht="18.95" customHeight="1">
      <c r="D30" s="158"/>
      <c r="H30" s="430"/>
      <c r="I30" s="98" t="s">
        <v>88</v>
      </c>
      <c r="J30" s="99"/>
      <c r="K30" s="123"/>
      <c r="L30" s="129">
        <f t="shared" si="6"/>
        <v>0</v>
      </c>
      <c r="M30" s="126" t="str">
        <f t="shared" si="11"/>
        <v/>
      </c>
      <c r="N30" s="100" t="str">
        <f t="shared" si="11"/>
        <v/>
      </c>
      <c r="O30" s="100" t="str">
        <f t="shared" si="11"/>
        <v/>
      </c>
      <c r="P30" s="100" t="str">
        <f t="shared" si="11"/>
        <v/>
      </c>
      <c r="Q30" s="100" t="str">
        <f t="shared" si="11"/>
        <v/>
      </c>
      <c r="R30" s="100" t="str">
        <f t="shared" si="11"/>
        <v/>
      </c>
      <c r="S30" s="100" t="str">
        <f t="shared" si="11"/>
        <v/>
      </c>
      <c r="T30" s="100" t="str">
        <f t="shared" si="11"/>
        <v/>
      </c>
      <c r="U30" s="100" t="str">
        <f t="shared" si="15"/>
        <v/>
      </c>
      <c r="V30" s="100" t="str">
        <f t="shared" si="15"/>
        <v/>
      </c>
      <c r="W30" s="100" t="str">
        <f t="shared" si="15"/>
        <v/>
      </c>
      <c r="X30" s="100" t="str">
        <f t="shared" si="15"/>
        <v/>
      </c>
      <c r="Y30" s="100" t="str">
        <f t="shared" si="15"/>
        <v/>
      </c>
      <c r="Z30" s="100" t="str">
        <f t="shared" si="15"/>
        <v/>
      </c>
      <c r="AA30" s="100" t="str">
        <f t="shared" si="15"/>
        <v/>
      </c>
      <c r="AB30" s="100" t="str">
        <f>IF(AND(AB$3&gt;$J30,AB$4&lt;$K30),"-------",IF(AB$3=$J30,"&lt;-----",IF(AB$4=$K30,"-----&gt;","")))</f>
        <v/>
      </c>
      <c r="AC30" s="100" t="str">
        <f t="shared" si="15"/>
        <v/>
      </c>
      <c r="AD30" s="100" t="str">
        <f t="shared" si="15"/>
        <v/>
      </c>
      <c r="AE30" s="100" t="str">
        <f t="shared" si="15"/>
        <v/>
      </c>
      <c r="AF30" s="100" t="str">
        <f t="shared" si="15"/>
        <v/>
      </c>
      <c r="AG30" s="100" t="str">
        <f t="shared" si="15"/>
        <v/>
      </c>
      <c r="AH30" s="100" t="str">
        <f t="shared" si="15"/>
        <v/>
      </c>
      <c r="AI30" s="100" t="str">
        <f t="shared" si="15"/>
        <v/>
      </c>
      <c r="AJ30" s="100" t="str">
        <f t="shared" si="15"/>
        <v/>
      </c>
      <c r="AK30" s="100" t="str">
        <f t="shared" si="15"/>
        <v/>
      </c>
      <c r="AL30" s="100" t="str">
        <f t="shared" si="15"/>
        <v/>
      </c>
      <c r="AM30" s="100" t="str">
        <f t="shared" si="15"/>
        <v/>
      </c>
      <c r="AN30" s="100" t="str">
        <f t="shared" si="15"/>
        <v/>
      </c>
      <c r="AO30" s="100" t="str">
        <f t="shared" si="15"/>
        <v/>
      </c>
      <c r="AP30" s="100" t="str">
        <f t="shared" si="15"/>
        <v/>
      </c>
      <c r="AQ30" s="100" t="str">
        <f t="shared" si="15"/>
        <v/>
      </c>
      <c r="AR30" s="100" t="str">
        <f t="shared" si="15"/>
        <v/>
      </c>
      <c r="AS30" s="100" t="str">
        <f t="shared" si="15"/>
        <v/>
      </c>
      <c r="AT30" s="100" t="str">
        <f t="shared" si="15"/>
        <v/>
      </c>
      <c r="AU30" s="102"/>
    </row>
    <row r="31" spans="1:47" ht="18.95" customHeight="1">
      <c r="D31" s="158"/>
      <c r="F31" s="171"/>
      <c r="H31" s="430"/>
      <c r="I31" s="98" t="s">
        <v>89</v>
      </c>
      <c r="J31" s="99">
        <v>1700</v>
      </c>
      <c r="K31" s="123">
        <v>2100</v>
      </c>
      <c r="L31" s="129">
        <f t="shared" si="6"/>
        <v>4</v>
      </c>
      <c r="M31" s="126" t="str">
        <f t="shared" si="11"/>
        <v/>
      </c>
      <c r="N31" s="100" t="str">
        <f t="shared" si="11"/>
        <v/>
      </c>
      <c r="O31" s="100" t="str">
        <f t="shared" si="11"/>
        <v/>
      </c>
      <c r="P31" s="100" t="str">
        <f t="shared" si="11"/>
        <v/>
      </c>
      <c r="Q31" s="100" t="str">
        <f t="shared" si="11"/>
        <v/>
      </c>
      <c r="R31" s="100" t="str">
        <f t="shared" si="11"/>
        <v/>
      </c>
      <c r="S31" s="100" t="str">
        <f t="shared" si="11"/>
        <v/>
      </c>
      <c r="T31" s="100" t="str">
        <f t="shared" si="11"/>
        <v/>
      </c>
      <c r="U31" s="100" t="str">
        <f t="shared" si="15"/>
        <v/>
      </c>
      <c r="V31" s="100" t="str">
        <f t="shared" si="15"/>
        <v/>
      </c>
      <c r="W31" s="100" t="str">
        <f t="shared" si="15"/>
        <v/>
      </c>
      <c r="X31" s="100" t="str">
        <f t="shared" si="15"/>
        <v/>
      </c>
      <c r="Y31" s="100" t="str">
        <f t="shared" si="15"/>
        <v/>
      </c>
      <c r="Z31" s="100" t="str">
        <f t="shared" si="15"/>
        <v/>
      </c>
      <c r="AA31" s="100" t="str">
        <f t="shared" si="15"/>
        <v/>
      </c>
      <c r="AB31" s="100" t="str">
        <f t="shared" si="15"/>
        <v/>
      </c>
      <c r="AC31" s="100" t="str">
        <f t="shared" si="15"/>
        <v/>
      </c>
      <c r="AD31" s="100" t="str">
        <f t="shared" si="15"/>
        <v/>
      </c>
      <c r="AE31" s="100" t="str">
        <f t="shared" si="15"/>
        <v/>
      </c>
      <c r="AF31" s="100" t="str">
        <f t="shared" si="15"/>
        <v/>
      </c>
      <c r="AG31" s="100" t="str">
        <f t="shared" si="15"/>
        <v>&lt;-----</v>
      </c>
      <c r="AH31" s="100" t="str">
        <f t="shared" si="15"/>
        <v>-------</v>
      </c>
      <c r="AI31" s="100" t="str">
        <f t="shared" si="15"/>
        <v>-------</v>
      </c>
      <c r="AJ31" s="100" t="str">
        <f>IF(AND(AJ$3&gt;$J31,AJ$4&lt;$K31),"-------------",IF(AJ$3=$J31,"&lt;-----",IF(AJ$4=$K31,"-----&gt;","")))</f>
        <v>-------------</v>
      </c>
      <c r="AK31" s="100" t="str">
        <f t="shared" si="15"/>
        <v>-------</v>
      </c>
      <c r="AL31" s="100" t="str">
        <f t="shared" si="15"/>
        <v>-------</v>
      </c>
      <c r="AM31" s="100" t="str">
        <f t="shared" si="15"/>
        <v>-------</v>
      </c>
      <c r="AN31" s="100" t="str">
        <f t="shared" si="15"/>
        <v>-----&gt;</v>
      </c>
      <c r="AO31" s="100" t="str">
        <f t="shared" si="15"/>
        <v/>
      </c>
      <c r="AP31" s="100" t="str">
        <f t="shared" si="15"/>
        <v/>
      </c>
      <c r="AQ31" s="100" t="str">
        <f t="shared" si="15"/>
        <v/>
      </c>
      <c r="AR31" s="100" t="str">
        <f t="shared" si="15"/>
        <v/>
      </c>
      <c r="AS31" s="100" t="str">
        <f t="shared" si="15"/>
        <v/>
      </c>
      <c r="AT31" s="100" t="str">
        <f t="shared" si="15"/>
        <v/>
      </c>
      <c r="AU31" s="102"/>
    </row>
    <row r="32" spans="1:47" ht="18.95" customHeight="1">
      <c r="D32" s="158"/>
      <c r="H32" s="430"/>
      <c r="I32" s="98" t="s">
        <v>82</v>
      </c>
      <c r="J32" s="99">
        <v>0</v>
      </c>
      <c r="K32" s="123">
        <v>0</v>
      </c>
      <c r="L32" s="129">
        <f t="shared" si="6"/>
        <v>0</v>
      </c>
      <c r="M32" s="126" t="str">
        <f t="shared" si="11"/>
        <v/>
      </c>
      <c r="N32" s="100" t="str">
        <f t="shared" si="11"/>
        <v/>
      </c>
      <c r="O32" s="100" t="str">
        <f t="shared" si="11"/>
        <v/>
      </c>
      <c r="P32" s="100" t="str">
        <f t="shared" si="11"/>
        <v/>
      </c>
      <c r="Q32" s="100" t="str">
        <f t="shared" si="11"/>
        <v/>
      </c>
      <c r="R32" s="100" t="str">
        <f t="shared" si="11"/>
        <v/>
      </c>
      <c r="S32" s="100" t="str">
        <f t="shared" si="11"/>
        <v/>
      </c>
      <c r="T32" s="100" t="str">
        <f t="shared" si="11"/>
        <v/>
      </c>
      <c r="U32" s="100" t="str">
        <f t="shared" si="15"/>
        <v/>
      </c>
      <c r="V32" s="100" t="str">
        <f t="shared" si="15"/>
        <v/>
      </c>
      <c r="W32" s="100" t="str">
        <f t="shared" si="15"/>
        <v/>
      </c>
      <c r="X32" s="100" t="str">
        <f t="shared" si="15"/>
        <v/>
      </c>
      <c r="Y32" s="100" t="str">
        <f t="shared" si="15"/>
        <v/>
      </c>
      <c r="Z32" s="100" t="str">
        <f t="shared" si="15"/>
        <v/>
      </c>
      <c r="AA32" s="100" t="str">
        <f t="shared" si="15"/>
        <v/>
      </c>
      <c r="AB32" s="100" t="str">
        <f t="shared" si="15"/>
        <v/>
      </c>
      <c r="AC32" s="100" t="str">
        <f t="shared" si="15"/>
        <v/>
      </c>
      <c r="AD32" s="100" t="str">
        <f t="shared" si="15"/>
        <v/>
      </c>
      <c r="AE32" s="100" t="str">
        <f t="shared" si="15"/>
        <v/>
      </c>
      <c r="AF32" s="100" t="str">
        <f t="shared" si="15"/>
        <v/>
      </c>
      <c r="AG32" s="100" t="str">
        <f t="shared" si="15"/>
        <v/>
      </c>
      <c r="AH32" s="100" t="str">
        <f t="shared" si="15"/>
        <v/>
      </c>
      <c r="AI32" s="100" t="str">
        <f t="shared" si="15"/>
        <v/>
      </c>
      <c r="AJ32" s="100" t="str">
        <f t="shared" si="15"/>
        <v/>
      </c>
      <c r="AK32" s="100" t="str">
        <f t="shared" si="15"/>
        <v/>
      </c>
      <c r="AL32" s="100" t="str">
        <f t="shared" si="15"/>
        <v/>
      </c>
      <c r="AM32" s="100" t="str">
        <f t="shared" si="15"/>
        <v/>
      </c>
      <c r="AN32" s="100" t="str">
        <f t="shared" si="15"/>
        <v/>
      </c>
      <c r="AO32" s="100" t="str">
        <f t="shared" si="15"/>
        <v/>
      </c>
      <c r="AP32" s="100" t="str">
        <f t="shared" si="15"/>
        <v/>
      </c>
      <c r="AQ32" s="100" t="str">
        <f t="shared" si="15"/>
        <v/>
      </c>
      <c r="AR32" s="100" t="str">
        <f t="shared" si="15"/>
        <v/>
      </c>
      <c r="AS32" s="100" t="str">
        <f t="shared" si="15"/>
        <v/>
      </c>
      <c r="AT32" s="100" t="str">
        <f t="shared" si="15"/>
        <v/>
      </c>
      <c r="AU32" s="102"/>
    </row>
    <row r="33" spans="8:47" ht="18.95" customHeight="1">
      <c r="H33" s="430"/>
      <c r="I33" s="98" t="s">
        <v>83</v>
      </c>
      <c r="J33" s="99">
        <v>1800</v>
      </c>
      <c r="K33" s="123">
        <v>2200</v>
      </c>
      <c r="L33" s="129">
        <f t="shared" si="6"/>
        <v>4</v>
      </c>
      <c r="M33" s="126" t="str">
        <f t="shared" si="11"/>
        <v/>
      </c>
      <c r="N33" s="100" t="str">
        <f t="shared" si="11"/>
        <v/>
      </c>
      <c r="O33" s="100" t="str">
        <f t="shared" si="11"/>
        <v/>
      </c>
      <c r="P33" s="100" t="str">
        <f t="shared" si="11"/>
        <v/>
      </c>
      <c r="Q33" s="100" t="str">
        <f t="shared" si="11"/>
        <v/>
      </c>
      <c r="R33" s="100" t="str">
        <f t="shared" si="11"/>
        <v/>
      </c>
      <c r="S33" s="100" t="str">
        <f t="shared" si="11"/>
        <v/>
      </c>
      <c r="T33" s="100" t="str">
        <f t="shared" si="11"/>
        <v/>
      </c>
      <c r="U33" s="100" t="str">
        <f t="shared" si="15"/>
        <v/>
      </c>
      <c r="V33" s="100" t="str">
        <f t="shared" si="15"/>
        <v/>
      </c>
      <c r="W33" s="100" t="str">
        <f t="shared" si="15"/>
        <v/>
      </c>
      <c r="X33" s="100" t="str">
        <f t="shared" si="15"/>
        <v/>
      </c>
      <c r="Y33" s="100" t="str">
        <f t="shared" si="15"/>
        <v/>
      </c>
      <c r="Z33" s="100" t="str">
        <f t="shared" si="15"/>
        <v/>
      </c>
      <c r="AA33" s="100" t="str">
        <f t="shared" si="15"/>
        <v/>
      </c>
      <c r="AB33" s="100" t="str">
        <f t="shared" si="15"/>
        <v/>
      </c>
      <c r="AC33" s="100" t="str">
        <f t="shared" si="15"/>
        <v/>
      </c>
      <c r="AD33" s="100" t="str">
        <f t="shared" si="15"/>
        <v/>
      </c>
      <c r="AE33" s="100" t="str">
        <f t="shared" si="15"/>
        <v/>
      </c>
      <c r="AF33" s="100" t="str">
        <f t="shared" si="15"/>
        <v/>
      </c>
      <c r="AG33" s="100" t="str">
        <f t="shared" si="15"/>
        <v/>
      </c>
      <c r="AH33" s="100" t="str">
        <f t="shared" si="15"/>
        <v/>
      </c>
      <c r="AI33" s="100" t="str">
        <f t="shared" si="15"/>
        <v>&lt;-----</v>
      </c>
      <c r="AJ33" s="100" t="str">
        <f>IF(AND(AJ$3&gt;$J33,AJ$4&lt;$K33),"------------",IF(AJ$3=$J33,"&lt;-----",IF(AJ$4=$K33,"-----&gt;","")))</f>
        <v>------------</v>
      </c>
      <c r="AK33" s="100" t="str">
        <f t="shared" si="15"/>
        <v>-------</v>
      </c>
      <c r="AL33" s="100" t="str">
        <f t="shared" si="15"/>
        <v>-------</v>
      </c>
      <c r="AM33" s="100" t="str">
        <f t="shared" si="15"/>
        <v>-------</v>
      </c>
      <c r="AN33" s="100" t="str">
        <f t="shared" si="15"/>
        <v>-------</v>
      </c>
      <c r="AO33" s="100" t="str">
        <f t="shared" si="15"/>
        <v>-------</v>
      </c>
      <c r="AP33" s="100" t="str">
        <f>IF(AND(AP$3&gt;$J33,AP$4&lt;$K33),"-------",IF(AP$3=$J33,"&lt;-----",IF(AP$4=$K33,"---------&gt;","")))</f>
        <v>---------&gt;</v>
      </c>
      <c r="AQ33" s="100" t="str">
        <f t="shared" si="15"/>
        <v/>
      </c>
      <c r="AR33" s="100" t="str">
        <f t="shared" si="15"/>
        <v/>
      </c>
      <c r="AS33" s="100" t="str">
        <f t="shared" si="15"/>
        <v/>
      </c>
      <c r="AT33" s="100" t="str">
        <f t="shared" si="15"/>
        <v/>
      </c>
      <c r="AU33" s="102"/>
    </row>
    <row r="34" spans="8:47" ht="18.95" customHeight="1">
      <c r="H34" s="430"/>
      <c r="I34" s="98" t="s">
        <v>84</v>
      </c>
      <c r="J34" s="99"/>
      <c r="K34" s="123"/>
      <c r="L34" s="129">
        <f t="shared" si="6"/>
        <v>0</v>
      </c>
      <c r="M34" s="126" t="str">
        <f t="shared" si="11"/>
        <v/>
      </c>
      <c r="N34" s="100" t="str">
        <f t="shared" si="11"/>
        <v/>
      </c>
      <c r="O34" s="100" t="str">
        <f t="shared" si="11"/>
        <v/>
      </c>
      <c r="P34" s="100" t="str">
        <f t="shared" si="11"/>
        <v/>
      </c>
      <c r="Q34" s="100" t="str">
        <f t="shared" si="11"/>
        <v/>
      </c>
      <c r="R34" s="100" t="str">
        <f t="shared" si="11"/>
        <v/>
      </c>
      <c r="S34" s="100" t="str">
        <f t="shared" si="11"/>
        <v/>
      </c>
      <c r="T34" s="100" t="str">
        <f t="shared" si="11"/>
        <v/>
      </c>
      <c r="U34" s="100" t="str">
        <f t="shared" si="15"/>
        <v/>
      </c>
      <c r="V34" s="100" t="str">
        <f t="shared" si="15"/>
        <v/>
      </c>
      <c r="W34" s="100" t="str">
        <f t="shared" si="15"/>
        <v/>
      </c>
      <c r="X34" s="100" t="str">
        <f t="shared" si="15"/>
        <v/>
      </c>
      <c r="Y34" s="100" t="str">
        <f t="shared" si="15"/>
        <v/>
      </c>
      <c r="Z34" s="100" t="str">
        <f t="shared" si="15"/>
        <v/>
      </c>
      <c r="AA34" s="100" t="str">
        <f t="shared" si="15"/>
        <v/>
      </c>
      <c r="AB34" s="100" t="str">
        <f t="shared" si="15"/>
        <v/>
      </c>
      <c r="AC34" s="100" t="str">
        <f t="shared" si="15"/>
        <v/>
      </c>
      <c r="AD34" s="100" t="str">
        <f t="shared" si="15"/>
        <v/>
      </c>
      <c r="AE34" s="100" t="str">
        <f t="shared" si="15"/>
        <v/>
      </c>
      <c r="AF34" s="100" t="str">
        <f t="shared" si="15"/>
        <v/>
      </c>
      <c r="AG34" s="100" t="str">
        <f t="shared" si="15"/>
        <v/>
      </c>
      <c r="AH34" s="100" t="str">
        <f t="shared" si="15"/>
        <v/>
      </c>
      <c r="AI34" s="100" t="str">
        <f t="shared" si="15"/>
        <v/>
      </c>
      <c r="AJ34" s="100" t="str">
        <f t="shared" si="15"/>
        <v/>
      </c>
      <c r="AK34" s="100" t="str">
        <f t="shared" si="15"/>
        <v/>
      </c>
      <c r="AL34" s="100" t="str">
        <f t="shared" si="15"/>
        <v/>
      </c>
      <c r="AM34" s="100" t="str">
        <f t="shared" si="15"/>
        <v/>
      </c>
      <c r="AN34" s="100" t="str">
        <f t="shared" si="15"/>
        <v/>
      </c>
      <c r="AO34" s="100" t="str">
        <f t="shared" si="15"/>
        <v/>
      </c>
      <c r="AP34" s="100" t="str">
        <f t="shared" si="15"/>
        <v/>
      </c>
      <c r="AQ34" s="100" t="str">
        <f t="shared" si="15"/>
        <v/>
      </c>
      <c r="AR34" s="100" t="str">
        <f t="shared" si="15"/>
        <v/>
      </c>
      <c r="AS34" s="100" t="str">
        <f t="shared" si="15"/>
        <v/>
      </c>
      <c r="AT34" s="100" t="str">
        <f t="shared" si="15"/>
        <v/>
      </c>
      <c r="AU34" s="102"/>
    </row>
    <row r="35" spans="8:47" ht="15" customHeight="1">
      <c r="H35" s="430"/>
      <c r="I35" s="98"/>
      <c r="J35" s="99"/>
      <c r="K35" s="123"/>
      <c r="L35" s="129">
        <f t="shared" si="6"/>
        <v>0</v>
      </c>
      <c r="M35" s="126" t="str">
        <f t="shared" si="11"/>
        <v/>
      </c>
      <c r="N35" s="100" t="str">
        <f t="shared" si="11"/>
        <v/>
      </c>
      <c r="O35" s="100" t="str">
        <f t="shared" si="11"/>
        <v/>
      </c>
      <c r="P35" s="100" t="str">
        <f t="shared" si="11"/>
        <v/>
      </c>
      <c r="Q35" s="100" t="str">
        <f t="shared" si="11"/>
        <v/>
      </c>
      <c r="R35" s="100" t="str">
        <f t="shared" si="11"/>
        <v/>
      </c>
      <c r="S35" s="100" t="str">
        <f t="shared" si="11"/>
        <v/>
      </c>
      <c r="T35" s="100" t="str">
        <f t="shared" si="11"/>
        <v/>
      </c>
      <c r="U35" s="100" t="str">
        <f t="shared" si="15"/>
        <v/>
      </c>
      <c r="V35" s="100" t="str">
        <f t="shared" si="15"/>
        <v/>
      </c>
      <c r="W35" s="100" t="str">
        <f t="shared" si="15"/>
        <v/>
      </c>
      <c r="X35" s="100" t="str">
        <f t="shared" si="15"/>
        <v/>
      </c>
      <c r="Y35" s="100" t="str">
        <f t="shared" si="15"/>
        <v/>
      </c>
      <c r="Z35" s="100" t="str">
        <f t="shared" si="15"/>
        <v/>
      </c>
      <c r="AA35" s="100" t="str">
        <f t="shared" si="15"/>
        <v/>
      </c>
      <c r="AB35" s="100" t="str">
        <f t="shared" si="15"/>
        <v/>
      </c>
      <c r="AC35" s="100" t="str">
        <f t="shared" si="15"/>
        <v/>
      </c>
      <c r="AD35" s="100" t="str">
        <f t="shared" si="15"/>
        <v/>
      </c>
      <c r="AE35" s="100" t="str">
        <f t="shared" si="15"/>
        <v/>
      </c>
      <c r="AF35" s="100" t="str">
        <f t="shared" si="15"/>
        <v/>
      </c>
      <c r="AG35" s="100" t="str">
        <f t="shared" si="15"/>
        <v/>
      </c>
      <c r="AH35" s="100" t="str">
        <f t="shared" si="15"/>
        <v/>
      </c>
      <c r="AI35" s="100" t="str">
        <f t="shared" si="15"/>
        <v/>
      </c>
      <c r="AJ35" s="100" t="str">
        <f t="shared" si="15"/>
        <v/>
      </c>
      <c r="AK35" s="100" t="str">
        <f t="shared" si="15"/>
        <v/>
      </c>
      <c r="AL35" s="100" t="str">
        <f t="shared" si="15"/>
        <v/>
      </c>
      <c r="AM35" s="100" t="str">
        <f t="shared" si="15"/>
        <v/>
      </c>
      <c r="AN35" s="100" t="str">
        <f t="shared" si="15"/>
        <v/>
      </c>
      <c r="AO35" s="100" t="str">
        <f t="shared" si="15"/>
        <v/>
      </c>
      <c r="AP35" s="100" t="str">
        <f t="shared" si="15"/>
        <v/>
      </c>
      <c r="AQ35" s="100" t="str">
        <f t="shared" si="15"/>
        <v/>
      </c>
      <c r="AR35" s="100" t="str">
        <f t="shared" si="15"/>
        <v/>
      </c>
      <c r="AS35" s="100" t="str">
        <f t="shared" si="15"/>
        <v/>
      </c>
      <c r="AT35" s="100" t="str">
        <f t="shared" si="15"/>
        <v/>
      </c>
      <c r="AU35" s="102"/>
    </row>
    <row r="36" spans="8:47" ht="15" customHeight="1">
      <c r="H36" s="431"/>
      <c r="I36" s="105"/>
      <c r="J36" s="106"/>
      <c r="K36" s="124"/>
      <c r="L36" s="130">
        <f t="shared" si="6"/>
        <v>0</v>
      </c>
      <c r="M36" s="127" t="str">
        <f t="shared" si="11"/>
        <v/>
      </c>
      <c r="N36" s="107" t="str">
        <f t="shared" si="11"/>
        <v/>
      </c>
      <c r="O36" s="107" t="str">
        <f t="shared" si="11"/>
        <v/>
      </c>
      <c r="P36" s="107" t="str">
        <f t="shared" si="11"/>
        <v/>
      </c>
      <c r="Q36" s="107" t="str">
        <f t="shared" si="11"/>
        <v/>
      </c>
      <c r="R36" s="107" t="str">
        <f t="shared" si="11"/>
        <v/>
      </c>
      <c r="S36" s="107" t="str">
        <f t="shared" si="11"/>
        <v/>
      </c>
      <c r="T36" s="107" t="str">
        <f t="shared" si="11"/>
        <v/>
      </c>
      <c r="U36" s="107" t="str">
        <f t="shared" si="15"/>
        <v/>
      </c>
      <c r="V36" s="107" t="str">
        <f t="shared" si="15"/>
        <v/>
      </c>
      <c r="W36" s="107" t="str">
        <f t="shared" si="15"/>
        <v/>
      </c>
      <c r="X36" s="107" t="str">
        <f t="shared" si="15"/>
        <v/>
      </c>
      <c r="Y36" s="107" t="str">
        <f t="shared" si="15"/>
        <v/>
      </c>
      <c r="Z36" s="107" t="str">
        <f t="shared" si="15"/>
        <v/>
      </c>
      <c r="AA36" s="107" t="str">
        <f t="shared" si="15"/>
        <v/>
      </c>
      <c r="AB36" s="107" t="str">
        <f t="shared" si="15"/>
        <v/>
      </c>
      <c r="AC36" s="107" t="str">
        <f t="shared" si="15"/>
        <v/>
      </c>
      <c r="AD36" s="107" t="str">
        <f t="shared" si="15"/>
        <v/>
      </c>
      <c r="AE36" s="107" t="str">
        <f t="shared" si="15"/>
        <v/>
      </c>
      <c r="AF36" s="107" t="str">
        <f t="shared" ref="AF36:AT36" si="16">IF(AND(AF$3&gt;$J36,AF$4&lt;$K36),"-------",IF(AF$3=$J36,"&lt;-----",IF(AF$4=$K36,"-----&gt;","")))</f>
        <v/>
      </c>
      <c r="AG36" s="107" t="str">
        <f t="shared" si="16"/>
        <v/>
      </c>
      <c r="AH36" s="107" t="str">
        <f t="shared" si="16"/>
        <v/>
      </c>
      <c r="AI36" s="107" t="str">
        <f t="shared" si="16"/>
        <v/>
      </c>
      <c r="AJ36" s="107" t="str">
        <f t="shared" si="16"/>
        <v/>
      </c>
      <c r="AK36" s="107" t="str">
        <f t="shared" si="16"/>
        <v/>
      </c>
      <c r="AL36" s="107" t="str">
        <f t="shared" si="16"/>
        <v/>
      </c>
      <c r="AM36" s="107" t="str">
        <f t="shared" si="16"/>
        <v/>
      </c>
      <c r="AN36" s="107" t="str">
        <f t="shared" si="16"/>
        <v/>
      </c>
      <c r="AO36" s="107" t="str">
        <f t="shared" si="16"/>
        <v/>
      </c>
      <c r="AP36" s="107" t="str">
        <f t="shared" si="16"/>
        <v/>
      </c>
      <c r="AQ36" s="107" t="str">
        <f t="shared" si="16"/>
        <v/>
      </c>
      <c r="AR36" s="107" t="str">
        <f t="shared" si="16"/>
        <v/>
      </c>
      <c r="AS36" s="107" t="str">
        <f t="shared" si="16"/>
        <v/>
      </c>
      <c r="AT36" s="107" t="str">
        <f t="shared" si="16"/>
        <v/>
      </c>
      <c r="AU36" s="108"/>
    </row>
    <row r="38" spans="8:47" ht="15" customHeight="1">
      <c r="S38" s="85"/>
      <c r="T38" s="85"/>
    </row>
  </sheetData>
  <sheetProtection formatCells="0" formatColumns="0" formatRows="0" insertColumns="0" selectLockedCells="1" sort="0" autoFilter="0" pivotTables="0"/>
  <mergeCells count="36">
    <mergeCell ref="AU3:AU4"/>
    <mergeCell ref="R1:S1"/>
    <mergeCell ref="AR1:AS1"/>
    <mergeCell ref="K1:L1"/>
    <mergeCell ref="AG2:AL2"/>
    <mergeCell ref="AA2:AF2"/>
    <mergeCell ref="AM2:AT2"/>
    <mergeCell ref="AD1:AE1"/>
    <mergeCell ref="AJ1:AK1"/>
    <mergeCell ref="M2:T2"/>
    <mergeCell ref="H27:H36"/>
    <mergeCell ref="F9:F10"/>
    <mergeCell ref="H10:H19"/>
    <mergeCell ref="H6:H9"/>
    <mergeCell ref="H20:H26"/>
    <mergeCell ref="AP1:AQ1"/>
    <mergeCell ref="K3:K4"/>
    <mergeCell ref="L3:L4"/>
    <mergeCell ref="U2:Z2"/>
    <mergeCell ref="D3:D4"/>
    <mergeCell ref="X1:Y1"/>
    <mergeCell ref="I3:I4"/>
    <mergeCell ref="J3:J4"/>
    <mergeCell ref="E3:E4"/>
    <mergeCell ref="F3:F4"/>
    <mergeCell ref="H3:H4"/>
    <mergeCell ref="B3:B4"/>
    <mergeCell ref="C18:D18"/>
    <mergeCell ref="E18:F18"/>
    <mergeCell ref="C3:C4"/>
    <mergeCell ref="A9:A10"/>
    <mergeCell ref="D20:D21"/>
    <mergeCell ref="F20:F21"/>
    <mergeCell ref="A18:A19"/>
    <mergeCell ref="A8:F8"/>
    <mergeCell ref="B18:B19"/>
  </mergeCells>
  <phoneticPr fontId="23" type="noConversion"/>
  <conditionalFormatting sqref="L6">
    <cfRule type="colorScale" priority="122">
      <colorScale>
        <cfvo type="min"/>
        <cfvo type="max"/>
        <color rgb="FFFF7128"/>
        <color rgb="FFFFEF9C"/>
      </colorScale>
    </cfRule>
    <cfRule type="colorScale" priority="123">
      <colorScale>
        <cfvo type="min"/>
        <cfvo type="max"/>
        <color theme="6" tint="-0.249977111117893"/>
        <color rgb="FFFFEF9C"/>
      </colorScale>
    </cfRule>
    <cfRule type="colorScale" priority="124">
      <colorScale>
        <cfvo type="min"/>
        <cfvo type="max"/>
        <color theme="5" tint="0.59999389629810485"/>
        <color rgb="FFFFEF9C"/>
      </colorScale>
    </cfRule>
  </conditionalFormatting>
  <conditionalFormatting sqref="L7:L36">
    <cfRule type="colorScale" priority="1">
      <colorScale>
        <cfvo type="min"/>
        <cfvo type="max"/>
        <color rgb="FFFF7128"/>
        <color rgb="FFFFEF9C"/>
      </colorScale>
    </cfRule>
    <cfRule type="colorScale" priority="2">
      <colorScale>
        <cfvo type="min"/>
        <cfvo type="max"/>
        <color theme="6" tint="-0.249977111117893"/>
        <color rgb="FFFFEF9C"/>
      </colorScale>
    </cfRule>
    <cfRule type="colorScale" priority="3">
      <colorScale>
        <cfvo type="min"/>
        <cfvo type="max"/>
        <color theme="5" tint="0.59999389629810485"/>
        <color rgb="FFFFEF9C"/>
      </colorScale>
    </cfRule>
  </conditionalFormatting>
  <printOptions horizontalCentered="1" verticalCentered="1"/>
  <pageMargins left="0.24" right="0.16" top="0" bottom="0" header="0.196850393700787" footer="0"/>
  <pageSetup paperSize="9" scale="84" orientation="landscape"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66"/>
  <sheetViews>
    <sheetView zoomScale="80" zoomScaleNormal="80" workbookViewId="0">
      <pane xSplit="7" ySplit="5" topLeftCell="H45" activePane="bottomRight" state="frozen"/>
      <selection pane="topRight" activeCell="H1" sqref="H1"/>
      <selection pane="bottomLeft" activeCell="A7" sqref="A7"/>
      <selection pane="bottomRight" activeCell="J9" sqref="J9"/>
    </sheetView>
  </sheetViews>
  <sheetFormatPr defaultColWidth="6.125" defaultRowHeight="16.5"/>
  <cols>
    <col min="1" max="1" width="6.125" style="184"/>
    <col min="2" max="2" width="10.125" style="184" customWidth="1"/>
    <col min="3" max="3" width="26.625" style="184" customWidth="1"/>
    <col min="4" max="4" width="8.625" style="185" bestFit="1" customWidth="1"/>
    <col min="5" max="5" width="5.875" style="186" hidden="1" customWidth="1"/>
    <col min="6" max="6" width="14.75" style="184" hidden="1" customWidth="1"/>
    <col min="7" max="7" width="6.75" style="184" hidden="1" customWidth="1"/>
    <col min="8" max="8" width="11.125" style="187" bestFit="1" customWidth="1"/>
    <col min="9" max="9" width="20.125" style="184" customWidth="1"/>
    <col min="10" max="10" width="40.75" style="184" customWidth="1"/>
    <col min="11" max="11" width="27.375" style="184" customWidth="1"/>
    <col min="12" max="12" width="19.125" style="184" customWidth="1"/>
    <col min="13" max="13" width="35.75" style="185" customWidth="1"/>
    <col min="14" max="43" width="4.625" style="184" hidden="1" customWidth="1"/>
    <col min="44" max="16384" width="6.125" style="184"/>
  </cols>
  <sheetData>
    <row r="1" spans="1:43" ht="18.75">
      <c r="C1" s="457" t="s">
        <v>181</v>
      </c>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7"/>
      <c r="AO1" s="457"/>
      <c r="AP1" s="457"/>
      <c r="AQ1" s="457"/>
    </row>
    <row r="2" spans="1:43" ht="16.5" customHeight="1">
      <c r="C2" s="187"/>
      <c r="I2" s="188"/>
      <c r="J2" s="188"/>
      <c r="K2" s="188"/>
      <c r="L2" s="188"/>
      <c r="N2" s="189"/>
      <c r="O2" s="458"/>
      <c r="P2" s="458"/>
      <c r="Q2" s="459" t="s">
        <v>164</v>
      </c>
      <c r="R2" s="459"/>
      <c r="S2" s="458">
        <v>43430</v>
      </c>
      <c r="T2" s="458"/>
      <c r="V2" s="459" t="s">
        <v>165</v>
      </c>
      <c r="W2" s="459"/>
      <c r="X2" s="458">
        <v>43436</v>
      </c>
      <c r="Y2" s="458"/>
      <c r="Z2" s="459"/>
      <c r="AA2" s="459"/>
      <c r="AB2" s="458"/>
      <c r="AC2" s="458"/>
      <c r="AD2" s="190"/>
      <c r="AM2" s="190"/>
      <c r="AN2" s="458"/>
      <c r="AO2" s="458"/>
      <c r="AP2" s="458"/>
      <c r="AQ2" s="188"/>
    </row>
    <row r="3" spans="1:43" ht="20.100000000000001" customHeight="1">
      <c r="A3" s="453"/>
      <c r="B3" s="453"/>
      <c r="C3" s="455"/>
      <c r="D3" s="455"/>
      <c r="E3" s="219"/>
      <c r="F3" s="219"/>
      <c r="G3" s="220"/>
      <c r="H3" s="466"/>
      <c r="I3" s="467"/>
      <c r="J3" s="337"/>
      <c r="K3" s="337"/>
      <c r="L3" s="337"/>
      <c r="M3" s="454" t="s">
        <v>180</v>
      </c>
      <c r="N3" s="336"/>
      <c r="O3" s="451" t="s">
        <v>112</v>
      </c>
      <c r="P3" s="451"/>
      <c r="Q3" s="451"/>
      <c r="R3" s="451"/>
      <c r="S3" s="191"/>
      <c r="T3" s="451" t="s">
        <v>113</v>
      </c>
      <c r="U3" s="451"/>
      <c r="V3" s="451"/>
      <c r="W3" s="452"/>
      <c r="X3" s="191"/>
      <c r="Y3" s="451" t="s">
        <v>114</v>
      </c>
      <c r="Z3" s="451"/>
      <c r="AA3" s="451"/>
      <c r="AB3" s="452"/>
      <c r="AC3" s="191"/>
      <c r="AD3" s="451" t="s">
        <v>115</v>
      </c>
      <c r="AE3" s="451"/>
      <c r="AF3" s="451"/>
      <c r="AG3" s="452"/>
      <c r="AH3" s="191"/>
      <c r="AI3" s="451" t="s">
        <v>116</v>
      </c>
      <c r="AJ3" s="451"/>
      <c r="AK3" s="451"/>
      <c r="AL3" s="452"/>
      <c r="AM3" s="191"/>
      <c r="AN3" s="451" t="s">
        <v>117</v>
      </c>
      <c r="AO3" s="451"/>
      <c r="AP3" s="451"/>
      <c r="AQ3" s="460"/>
    </row>
    <row r="4" spans="1:43" ht="20.100000000000001" customHeight="1">
      <c r="A4" s="453"/>
      <c r="B4" s="453"/>
      <c r="C4" s="455"/>
      <c r="D4" s="455"/>
      <c r="E4" s="221"/>
      <c r="F4" s="221"/>
      <c r="G4" s="222"/>
      <c r="H4" s="461">
        <v>10000000</v>
      </c>
      <c r="I4" s="462"/>
      <c r="J4" s="330"/>
      <c r="K4" s="330"/>
      <c r="L4" s="330"/>
      <c r="M4" s="454"/>
      <c r="N4" s="463">
        <v>22000000</v>
      </c>
      <c r="O4" s="464"/>
      <c r="P4" s="464"/>
      <c r="Q4" s="464"/>
      <c r="R4" s="464"/>
      <c r="S4" s="464">
        <v>25000000</v>
      </c>
      <c r="T4" s="464"/>
      <c r="U4" s="464"/>
      <c r="V4" s="464"/>
      <c r="W4" s="464"/>
      <c r="X4" s="464">
        <v>27000000</v>
      </c>
      <c r="Y4" s="464"/>
      <c r="Z4" s="464"/>
      <c r="AA4" s="464"/>
      <c r="AB4" s="464"/>
      <c r="AC4" s="464">
        <v>30000000</v>
      </c>
      <c r="AD4" s="464">
        <v>30000000</v>
      </c>
      <c r="AE4" s="464"/>
      <c r="AF4" s="464"/>
      <c r="AG4" s="464"/>
      <c r="AH4" s="464">
        <v>50000000</v>
      </c>
      <c r="AI4" s="464">
        <v>50000000</v>
      </c>
      <c r="AJ4" s="464"/>
      <c r="AK4" s="464"/>
      <c r="AL4" s="464"/>
      <c r="AM4" s="464">
        <v>45000000</v>
      </c>
      <c r="AN4" s="464">
        <v>50000000</v>
      </c>
      <c r="AO4" s="464"/>
      <c r="AP4" s="464"/>
      <c r="AQ4" s="465"/>
    </row>
    <row r="5" spans="1:43" ht="30.75" customHeight="1">
      <c r="A5" s="453"/>
      <c r="B5" s="453"/>
      <c r="C5" s="455"/>
      <c r="D5" s="455"/>
      <c r="E5" s="192"/>
      <c r="F5" s="193"/>
      <c r="G5" s="223" t="s">
        <v>166</v>
      </c>
      <c r="H5" s="224" t="s">
        <v>183</v>
      </c>
      <c r="I5" s="225" t="s">
        <v>182</v>
      </c>
      <c r="J5" s="456" t="s">
        <v>361</v>
      </c>
      <c r="K5" s="456"/>
      <c r="L5" s="225" t="s">
        <v>362</v>
      </c>
      <c r="M5" s="454"/>
      <c r="N5" s="195"/>
      <c r="O5" s="196" t="s">
        <v>167</v>
      </c>
      <c r="P5" s="197" t="s">
        <v>168</v>
      </c>
      <c r="Q5" s="197" t="s">
        <v>169</v>
      </c>
      <c r="R5" s="198" t="s">
        <v>168</v>
      </c>
      <c r="S5" s="194"/>
      <c r="T5" s="196" t="s">
        <v>167</v>
      </c>
      <c r="U5" s="197" t="s">
        <v>168</v>
      </c>
      <c r="V5" s="197" t="s">
        <v>169</v>
      </c>
      <c r="W5" s="199" t="s">
        <v>168</v>
      </c>
      <c r="X5" s="200"/>
      <c r="Y5" s="197" t="s">
        <v>167</v>
      </c>
      <c r="Z5" s="197" t="s">
        <v>168</v>
      </c>
      <c r="AA5" s="197" t="s">
        <v>169</v>
      </c>
      <c r="AB5" s="199" t="s">
        <v>168</v>
      </c>
      <c r="AC5" s="200"/>
      <c r="AD5" s="197" t="s">
        <v>167</v>
      </c>
      <c r="AE5" s="197" t="s">
        <v>168</v>
      </c>
      <c r="AF5" s="197" t="s">
        <v>169</v>
      </c>
      <c r="AG5" s="199" t="s">
        <v>168</v>
      </c>
      <c r="AH5" s="200"/>
      <c r="AI5" s="197" t="s">
        <v>167</v>
      </c>
      <c r="AJ5" s="197" t="s">
        <v>168</v>
      </c>
      <c r="AK5" s="197" t="s">
        <v>169</v>
      </c>
      <c r="AL5" s="199" t="s">
        <v>168</v>
      </c>
      <c r="AM5" s="200"/>
      <c r="AN5" s="197" t="s">
        <v>167</v>
      </c>
      <c r="AO5" s="197" t="s">
        <v>168</v>
      </c>
      <c r="AP5" s="197" t="s">
        <v>169</v>
      </c>
      <c r="AQ5" s="199" t="s">
        <v>168</v>
      </c>
    </row>
    <row r="6" spans="1:43" ht="49.5">
      <c r="A6" s="201">
        <v>1</v>
      </c>
      <c r="B6" s="202" t="s">
        <v>178</v>
      </c>
      <c r="C6" s="216" t="s">
        <v>203</v>
      </c>
      <c r="D6" s="226" t="s">
        <v>179</v>
      </c>
      <c r="E6" s="227">
        <v>500</v>
      </c>
      <c r="F6" s="228">
        <v>0.5</v>
      </c>
      <c r="G6" s="228">
        <v>0</v>
      </c>
      <c r="H6" s="229">
        <v>1</v>
      </c>
      <c r="I6" s="230">
        <v>60</v>
      </c>
      <c r="J6" s="331"/>
      <c r="K6" s="334" t="s">
        <v>440</v>
      </c>
      <c r="L6" s="347" t="s">
        <v>363</v>
      </c>
      <c r="M6" s="348" t="s">
        <v>260</v>
      </c>
      <c r="N6" s="203">
        <f t="shared" ref="N6:N34" si="0">+F6*$N$4/1000000</f>
        <v>11</v>
      </c>
      <c r="O6" s="204"/>
      <c r="P6" s="205"/>
      <c r="Q6" s="205"/>
      <c r="R6" s="206"/>
      <c r="S6" s="207">
        <f t="shared" ref="S6:S34" si="1">+F6*$S$4/1000000</f>
        <v>12.5</v>
      </c>
      <c r="T6" s="204"/>
      <c r="U6" s="205"/>
      <c r="V6" s="205"/>
      <c r="W6" s="208"/>
      <c r="X6" s="209">
        <f t="shared" ref="X6:X34" si="2">+F6*$X$4/1000000</f>
        <v>13.5</v>
      </c>
      <c r="Y6" s="205"/>
      <c r="Z6" s="205"/>
      <c r="AA6" s="205"/>
      <c r="AB6" s="208"/>
      <c r="AC6" s="209">
        <f t="shared" ref="AC6:AC34" si="3">+F6*$AC$4/1000000</f>
        <v>15</v>
      </c>
      <c r="AD6" s="205">
        <v>10</v>
      </c>
      <c r="AE6" s="205"/>
      <c r="AF6" s="205"/>
      <c r="AG6" s="208"/>
      <c r="AH6" s="209">
        <f t="shared" ref="AH6:AH34" si="4">+F6*$AH$4/1000000</f>
        <v>25</v>
      </c>
      <c r="AI6" s="205"/>
      <c r="AJ6" s="205"/>
      <c r="AK6" s="205"/>
      <c r="AL6" s="208"/>
      <c r="AM6" s="209">
        <f t="shared" ref="AM6:AM34" si="5">+F6*$AM$4/1000000</f>
        <v>22.5</v>
      </c>
      <c r="AN6" s="205"/>
      <c r="AO6" s="205"/>
      <c r="AP6" s="210"/>
      <c r="AQ6" s="211"/>
    </row>
    <row r="7" spans="1:43" ht="49.5">
      <c r="A7" s="212"/>
      <c r="B7" s="213"/>
      <c r="C7" s="217" t="s">
        <v>204</v>
      </c>
      <c r="D7" s="231" t="s">
        <v>179</v>
      </c>
      <c r="E7" s="227"/>
      <c r="F7" s="228"/>
      <c r="G7" s="228"/>
      <c r="H7" s="229">
        <v>0.5</v>
      </c>
      <c r="I7" s="230">
        <v>30</v>
      </c>
      <c r="J7" s="332"/>
      <c r="K7" s="334" t="s">
        <v>440</v>
      </c>
      <c r="L7" s="347" t="s">
        <v>363</v>
      </c>
      <c r="M7" s="349" t="s">
        <v>200</v>
      </c>
      <c r="N7" s="203">
        <f t="shared" si="0"/>
        <v>0</v>
      </c>
      <c r="O7" s="204"/>
      <c r="P7" s="205"/>
      <c r="Q7" s="205"/>
      <c r="R7" s="206"/>
      <c r="S7" s="207">
        <f t="shared" si="1"/>
        <v>0</v>
      </c>
      <c r="T7" s="204"/>
      <c r="U7" s="205"/>
      <c r="V7" s="205"/>
      <c r="W7" s="208"/>
      <c r="X7" s="209">
        <f t="shared" si="2"/>
        <v>0</v>
      </c>
      <c r="Y7" s="205"/>
      <c r="Z7" s="205"/>
      <c r="AA7" s="205"/>
      <c r="AB7" s="208"/>
      <c r="AC7" s="209">
        <f t="shared" si="3"/>
        <v>0</v>
      </c>
      <c r="AD7" s="205" t="s">
        <v>171</v>
      </c>
      <c r="AE7" s="205"/>
      <c r="AF7" s="205"/>
      <c r="AG7" s="208"/>
      <c r="AH7" s="209">
        <f t="shared" si="4"/>
        <v>0</v>
      </c>
      <c r="AI7" s="205"/>
      <c r="AJ7" s="205"/>
      <c r="AK7" s="205"/>
      <c r="AL7" s="208"/>
      <c r="AM7" s="209">
        <f t="shared" si="5"/>
        <v>0</v>
      </c>
      <c r="AN7" s="205"/>
      <c r="AO7" s="205"/>
      <c r="AP7" s="210"/>
      <c r="AQ7" s="211"/>
    </row>
    <row r="8" spans="1:43" ht="66">
      <c r="A8" s="212"/>
      <c r="B8" s="213"/>
      <c r="C8" s="217" t="s">
        <v>205</v>
      </c>
      <c r="D8" s="231" t="s">
        <v>179</v>
      </c>
      <c r="E8" s="227"/>
      <c r="F8" s="228"/>
      <c r="G8" s="228"/>
      <c r="H8" s="229">
        <v>0.5</v>
      </c>
      <c r="I8" s="230">
        <v>20</v>
      </c>
      <c r="J8" s="335" t="s">
        <v>441</v>
      </c>
      <c r="K8" s="334" t="s">
        <v>442</v>
      </c>
      <c r="L8" s="347" t="s">
        <v>363</v>
      </c>
      <c r="M8" s="350" t="s">
        <v>443</v>
      </c>
      <c r="N8" s="203">
        <f t="shared" si="0"/>
        <v>0</v>
      </c>
      <c r="O8" s="204"/>
      <c r="P8" s="205"/>
      <c r="Q8" s="205"/>
      <c r="R8" s="206"/>
      <c r="S8" s="207">
        <f t="shared" si="1"/>
        <v>0</v>
      </c>
      <c r="T8" s="204"/>
      <c r="U8" s="205"/>
      <c r="V8" s="205"/>
      <c r="W8" s="208"/>
      <c r="X8" s="209">
        <f t="shared" si="2"/>
        <v>0</v>
      </c>
      <c r="Y8" s="205"/>
      <c r="Z8" s="205"/>
      <c r="AA8" s="205"/>
      <c r="AB8" s="208"/>
      <c r="AC8" s="209">
        <f t="shared" si="3"/>
        <v>0</v>
      </c>
      <c r="AD8" s="205" t="s">
        <v>171</v>
      </c>
      <c r="AE8" s="205"/>
      <c r="AF8" s="205"/>
      <c r="AG8" s="208"/>
      <c r="AH8" s="209">
        <f t="shared" si="4"/>
        <v>0</v>
      </c>
      <c r="AI8" s="205"/>
      <c r="AJ8" s="205"/>
      <c r="AK8" s="205"/>
      <c r="AL8" s="208"/>
      <c r="AM8" s="209">
        <f t="shared" si="5"/>
        <v>0</v>
      </c>
      <c r="AN8" s="205"/>
      <c r="AO8" s="205"/>
      <c r="AP8" s="210"/>
      <c r="AQ8" s="211"/>
    </row>
    <row r="9" spans="1:43" ht="66">
      <c r="A9" s="201"/>
      <c r="B9" s="202"/>
      <c r="C9" s="217" t="s">
        <v>206</v>
      </c>
      <c r="D9" s="231" t="s">
        <v>179</v>
      </c>
      <c r="E9" s="227"/>
      <c r="F9" s="228"/>
      <c r="G9" s="228"/>
      <c r="H9" s="229">
        <v>0.5</v>
      </c>
      <c r="I9" s="230">
        <v>30</v>
      </c>
      <c r="J9" s="335" t="s">
        <v>444</v>
      </c>
      <c r="K9" s="334" t="s">
        <v>445</v>
      </c>
      <c r="L9" s="347" t="s">
        <v>363</v>
      </c>
      <c r="M9" s="350" t="s">
        <v>446</v>
      </c>
      <c r="N9" s="203">
        <f t="shared" si="0"/>
        <v>0</v>
      </c>
      <c r="O9" s="204"/>
      <c r="P9" s="205"/>
      <c r="Q9" s="205"/>
      <c r="R9" s="206"/>
      <c r="S9" s="207">
        <f t="shared" si="1"/>
        <v>0</v>
      </c>
      <c r="T9" s="204"/>
      <c r="U9" s="205"/>
      <c r="V9" s="205"/>
      <c r="W9" s="208"/>
      <c r="X9" s="209">
        <f t="shared" si="2"/>
        <v>0</v>
      </c>
      <c r="Y9" s="205"/>
      <c r="Z9" s="205"/>
      <c r="AA9" s="205"/>
      <c r="AB9" s="208"/>
      <c r="AC9" s="209">
        <f t="shared" si="3"/>
        <v>0</v>
      </c>
      <c r="AD9" s="205" t="s">
        <v>172</v>
      </c>
      <c r="AE9" s="205"/>
      <c r="AF9" s="205"/>
      <c r="AG9" s="208"/>
      <c r="AH9" s="209">
        <f t="shared" si="4"/>
        <v>0</v>
      </c>
      <c r="AI9" s="205"/>
      <c r="AJ9" s="205"/>
      <c r="AK9" s="205"/>
      <c r="AL9" s="208"/>
      <c r="AM9" s="209">
        <f t="shared" si="5"/>
        <v>0</v>
      </c>
      <c r="AN9" s="205"/>
      <c r="AO9" s="205"/>
      <c r="AP9" s="210"/>
      <c r="AQ9" s="211"/>
    </row>
    <row r="10" spans="1:43" ht="18" customHeight="1">
      <c r="A10" s="212"/>
      <c r="B10" s="213"/>
      <c r="C10" s="244"/>
      <c r="D10" s="231"/>
      <c r="E10" s="227"/>
      <c r="F10" s="228"/>
      <c r="G10" s="228"/>
      <c r="H10" s="229"/>
      <c r="I10" s="245"/>
      <c r="J10" s="333"/>
      <c r="K10" s="333"/>
      <c r="L10" s="351"/>
      <c r="M10" s="349"/>
      <c r="N10" s="203">
        <f t="shared" si="0"/>
        <v>0</v>
      </c>
      <c r="O10" s="204"/>
      <c r="P10" s="205"/>
      <c r="Q10" s="205"/>
      <c r="R10" s="206"/>
      <c r="S10" s="207">
        <f t="shared" si="1"/>
        <v>0</v>
      </c>
      <c r="T10" s="204"/>
      <c r="U10" s="205"/>
      <c r="V10" s="205"/>
      <c r="W10" s="208"/>
      <c r="X10" s="209">
        <f t="shared" si="2"/>
        <v>0</v>
      </c>
      <c r="Y10" s="205"/>
      <c r="Z10" s="205"/>
      <c r="AA10" s="205"/>
      <c r="AB10" s="208"/>
      <c r="AC10" s="209">
        <f t="shared" si="3"/>
        <v>0</v>
      </c>
      <c r="AD10" s="205">
        <v>1</v>
      </c>
      <c r="AE10" s="205"/>
      <c r="AF10" s="205"/>
      <c r="AG10" s="208"/>
      <c r="AH10" s="209">
        <f t="shared" si="4"/>
        <v>0</v>
      </c>
      <c r="AI10" s="205"/>
      <c r="AJ10" s="205"/>
      <c r="AK10" s="205"/>
      <c r="AL10" s="208"/>
      <c r="AM10" s="209">
        <f t="shared" si="5"/>
        <v>0</v>
      </c>
      <c r="AN10" s="205"/>
      <c r="AO10" s="205"/>
      <c r="AP10" s="210"/>
      <c r="AQ10" s="211"/>
    </row>
    <row r="11" spans="1:43" ht="18" customHeight="1">
      <c r="A11" s="201">
        <v>2</v>
      </c>
      <c r="B11" s="202" t="s">
        <v>184</v>
      </c>
      <c r="C11" s="216" t="s">
        <v>185</v>
      </c>
      <c r="D11" s="226" t="s">
        <v>188</v>
      </c>
      <c r="E11" s="227">
        <v>500</v>
      </c>
      <c r="F11" s="228">
        <v>0.5</v>
      </c>
      <c r="G11" s="228">
        <v>0</v>
      </c>
      <c r="H11" s="229">
        <v>30</v>
      </c>
      <c r="I11" s="230">
        <v>5</v>
      </c>
      <c r="J11" s="331" t="s">
        <v>447</v>
      </c>
      <c r="K11" s="331" t="s">
        <v>448</v>
      </c>
      <c r="L11" s="352" t="s">
        <v>364</v>
      </c>
      <c r="M11" s="353" t="s">
        <v>199</v>
      </c>
      <c r="N11" s="203">
        <f t="shared" si="0"/>
        <v>11</v>
      </c>
      <c r="O11" s="204"/>
      <c r="P11" s="205"/>
      <c r="Q11" s="205"/>
      <c r="R11" s="206"/>
      <c r="S11" s="207">
        <f t="shared" si="1"/>
        <v>12.5</v>
      </c>
      <c r="T11" s="204"/>
      <c r="U11" s="205"/>
      <c r="V11" s="205"/>
      <c r="W11" s="208"/>
      <c r="X11" s="209">
        <f t="shared" si="2"/>
        <v>13.5</v>
      </c>
      <c r="Y11" s="205"/>
      <c r="Z11" s="205"/>
      <c r="AA11" s="205"/>
      <c r="AB11" s="208"/>
      <c r="AC11" s="209">
        <f t="shared" si="3"/>
        <v>15</v>
      </c>
      <c r="AD11" s="205">
        <v>10</v>
      </c>
      <c r="AE11" s="205"/>
      <c r="AF11" s="205"/>
      <c r="AG11" s="208"/>
      <c r="AH11" s="209">
        <f t="shared" si="4"/>
        <v>25</v>
      </c>
      <c r="AI11" s="205"/>
      <c r="AJ11" s="205"/>
      <c r="AK11" s="205"/>
      <c r="AL11" s="208"/>
      <c r="AM11" s="209">
        <f t="shared" si="5"/>
        <v>22.5</v>
      </c>
      <c r="AN11" s="205"/>
      <c r="AO11" s="205"/>
      <c r="AP11" s="210"/>
      <c r="AQ11" s="211"/>
    </row>
    <row r="12" spans="1:43" ht="18" customHeight="1">
      <c r="A12" s="212"/>
      <c r="B12" s="213"/>
      <c r="C12" s="217" t="s">
        <v>186</v>
      </c>
      <c r="D12" s="231" t="s">
        <v>188</v>
      </c>
      <c r="E12" s="227"/>
      <c r="F12" s="228"/>
      <c r="G12" s="228"/>
      <c r="H12" s="229">
        <v>50</v>
      </c>
      <c r="I12" s="230">
        <v>8</v>
      </c>
      <c r="J12" s="331" t="s">
        <v>449</v>
      </c>
      <c r="K12" s="331" t="s">
        <v>448</v>
      </c>
      <c r="L12" s="352" t="s">
        <v>364</v>
      </c>
      <c r="M12" s="349" t="s">
        <v>199</v>
      </c>
      <c r="N12" s="203">
        <f t="shared" si="0"/>
        <v>0</v>
      </c>
      <c r="O12" s="204"/>
      <c r="P12" s="205"/>
      <c r="Q12" s="205"/>
      <c r="R12" s="206"/>
      <c r="S12" s="207">
        <f t="shared" si="1"/>
        <v>0</v>
      </c>
      <c r="T12" s="204"/>
      <c r="U12" s="205"/>
      <c r="V12" s="205"/>
      <c r="W12" s="208"/>
      <c r="X12" s="209">
        <f t="shared" si="2"/>
        <v>0</v>
      </c>
      <c r="Y12" s="205"/>
      <c r="Z12" s="205"/>
      <c r="AA12" s="205"/>
      <c r="AB12" s="208"/>
      <c r="AC12" s="209">
        <f t="shared" si="3"/>
        <v>0</v>
      </c>
      <c r="AD12" s="205" t="s">
        <v>171</v>
      </c>
      <c r="AE12" s="205"/>
      <c r="AF12" s="205"/>
      <c r="AG12" s="208"/>
      <c r="AH12" s="209">
        <f t="shared" si="4"/>
        <v>0</v>
      </c>
      <c r="AI12" s="205"/>
      <c r="AJ12" s="205"/>
      <c r="AK12" s="205"/>
      <c r="AL12" s="208"/>
      <c r="AM12" s="209">
        <f t="shared" si="5"/>
        <v>0</v>
      </c>
      <c r="AN12" s="205"/>
      <c r="AO12" s="205"/>
      <c r="AP12" s="210"/>
      <c r="AQ12" s="211"/>
    </row>
    <row r="13" spans="1:43" ht="18" customHeight="1">
      <c r="A13" s="212"/>
      <c r="B13" s="213"/>
      <c r="C13" s="217" t="s">
        <v>187</v>
      </c>
      <c r="D13" s="231" t="s">
        <v>188</v>
      </c>
      <c r="E13" s="227"/>
      <c r="F13" s="228"/>
      <c r="G13" s="228"/>
      <c r="H13" s="229">
        <v>30</v>
      </c>
      <c r="I13" s="230">
        <v>5</v>
      </c>
      <c r="J13" s="331" t="s">
        <v>450</v>
      </c>
      <c r="K13" s="331" t="s">
        <v>448</v>
      </c>
      <c r="L13" s="352" t="s">
        <v>364</v>
      </c>
      <c r="M13" s="349" t="s">
        <v>199</v>
      </c>
      <c r="N13" s="203">
        <f t="shared" si="0"/>
        <v>0</v>
      </c>
      <c r="O13" s="204"/>
      <c r="P13" s="205"/>
      <c r="Q13" s="205"/>
      <c r="R13" s="206"/>
      <c r="S13" s="207">
        <f t="shared" si="1"/>
        <v>0</v>
      </c>
      <c r="T13" s="204"/>
      <c r="U13" s="205"/>
      <c r="V13" s="205"/>
      <c r="W13" s="208"/>
      <c r="X13" s="209">
        <f t="shared" si="2"/>
        <v>0</v>
      </c>
      <c r="Y13" s="205"/>
      <c r="Z13" s="205"/>
      <c r="AA13" s="205"/>
      <c r="AB13" s="208"/>
      <c r="AC13" s="209">
        <f t="shared" si="3"/>
        <v>0</v>
      </c>
      <c r="AD13" s="205" t="s">
        <v>171</v>
      </c>
      <c r="AE13" s="205"/>
      <c r="AF13" s="205"/>
      <c r="AG13" s="208"/>
      <c r="AH13" s="209">
        <f t="shared" si="4"/>
        <v>0</v>
      </c>
      <c r="AI13" s="205"/>
      <c r="AJ13" s="205"/>
      <c r="AK13" s="205"/>
      <c r="AL13" s="208"/>
      <c r="AM13" s="209">
        <f t="shared" si="5"/>
        <v>0</v>
      </c>
      <c r="AN13" s="205"/>
      <c r="AO13" s="205"/>
      <c r="AP13" s="210"/>
      <c r="AQ13" s="211"/>
    </row>
    <row r="14" spans="1:43" ht="38.25" customHeight="1">
      <c r="A14" s="201"/>
      <c r="B14" s="202"/>
      <c r="C14" s="217" t="s">
        <v>268</v>
      </c>
      <c r="D14" s="231" t="s">
        <v>269</v>
      </c>
      <c r="E14" s="227"/>
      <c r="F14" s="228"/>
      <c r="G14" s="228"/>
      <c r="H14" s="229">
        <v>50</v>
      </c>
      <c r="I14" s="230">
        <v>5</v>
      </c>
      <c r="J14" s="332" t="s">
        <v>451</v>
      </c>
      <c r="K14" s="335" t="s">
        <v>452</v>
      </c>
      <c r="L14" s="352" t="s">
        <v>364</v>
      </c>
      <c r="M14" s="349" t="s">
        <v>270</v>
      </c>
      <c r="N14" s="203"/>
      <c r="O14" s="204"/>
      <c r="P14" s="205"/>
      <c r="Q14" s="205"/>
      <c r="R14" s="206"/>
      <c r="S14" s="207"/>
      <c r="T14" s="204"/>
      <c r="U14" s="205"/>
      <c r="V14" s="205"/>
      <c r="W14" s="208"/>
      <c r="X14" s="209"/>
      <c r="Y14" s="205"/>
      <c r="Z14" s="205"/>
      <c r="AA14" s="205"/>
      <c r="AB14" s="208"/>
      <c r="AC14" s="209"/>
      <c r="AD14" s="205"/>
      <c r="AE14" s="205"/>
      <c r="AF14" s="205"/>
      <c r="AG14" s="208"/>
      <c r="AH14" s="209"/>
      <c r="AI14" s="205"/>
      <c r="AJ14" s="205"/>
      <c r="AK14" s="205"/>
      <c r="AL14" s="208"/>
      <c r="AM14" s="209"/>
      <c r="AN14" s="205"/>
      <c r="AO14" s="205"/>
      <c r="AP14" s="210"/>
      <c r="AQ14" s="211"/>
    </row>
    <row r="15" spans="1:43" ht="18" customHeight="1">
      <c r="A15" s="212"/>
      <c r="B15" s="213"/>
      <c r="C15" s="217"/>
      <c r="D15" s="231"/>
      <c r="E15" s="227"/>
      <c r="F15" s="228"/>
      <c r="G15" s="228"/>
      <c r="H15" s="229"/>
      <c r="I15" s="230"/>
      <c r="J15" s="332"/>
      <c r="K15" s="332"/>
      <c r="L15" s="347"/>
      <c r="M15" s="349"/>
      <c r="N15" s="203">
        <f t="shared" si="0"/>
        <v>0</v>
      </c>
      <c r="O15" s="204"/>
      <c r="P15" s="205"/>
      <c r="Q15" s="205"/>
      <c r="R15" s="206"/>
      <c r="S15" s="207">
        <f t="shared" si="1"/>
        <v>0</v>
      </c>
      <c r="T15" s="204"/>
      <c r="U15" s="205"/>
      <c r="V15" s="205"/>
      <c r="W15" s="208"/>
      <c r="X15" s="209">
        <f t="shared" si="2"/>
        <v>0</v>
      </c>
      <c r="Y15" s="205"/>
      <c r="Z15" s="205"/>
      <c r="AA15" s="205"/>
      <c r="AB15" s="208"/>
      <c r="AC15" s="209">
        <f t="shared" si="3"/>
        <v>0</v>
      </c>
      <c r="AD15" s="205">
        <v>1</v>
      </c>
      <c r="AE15" s="205"/>
      <c r="AF15" s="205"/>
      <c r="AG15" s="208"/>
      <c r="AH15" s="209">
        <f t="shared" si="4"/>
        <v>0</v>
      </c>
      <c r="AI15" s="205"/>
      <c r="AJ15" s="205"/>
      <c r="AK15" s="205"/>
      <c r="AL15" s="208"/>
      <c r="AM15" s="209">
        <f t="shared" si="5"/>
        <v>0</v>
      </c>
      <c r="AN15" s="205"/>
      <c r="AO15" s="205"/>
      <c r="AP15" s="210"/>
      <c r="AQ15" s="211"/>
    </row>
    <row r="16" spans="1:43" ht="33" customHeight="1">
      <c r="A16" s="201">
        <v>3</v>
      </c>
      <c r="B16" s="202" t="s">
        <v>177</v>
      </c>
      <c r="C16" s="216" t="s">
        <v>207</v>
      </c>
      <c r="D16" s="226" t="s">
        <v>170</v>
      </c>
      <c r="E16" s="227">
        <v>500</v>
      </c>
      <c r="F16" s="228">
        <v>0.5</v>
      </c>
      <c r="G16" s="228">
        <v>0</v>
      </c>
      <c r="H16" s="229">
        <f t="shared" ref="H16:H43" si="6">+F16*$H$4/1000000</f>
        <v>5</v>
      </c>
      <c r="I16" s="230">
        <v>0</v>
      </c>
      <c r="J16" s="334" t="s">
        <v>365</v>
      </c>
      <c r="K16" s="334"/>
      <c r="L16" s="352" t="s">
        <v>364</v>
      </c>
      <c r="M16" s="353" t="s">
        <v>189</v>
      </c>
      <c r="N16" s="203">
        <f t="shared" si="0"/>
        <v>11</v>
      </c>
      <c r="O16" s="204"/>
      <c r="P16" s="205"/>
      <c r="Q16" s="205"/>
      <c r="R16" s="206"/>
      <c r="S16" s="207">
        <f t="shared" si="1"/>
        <v>12.5</v>
      </c>
      <c r="T16" s="204"/>
      <c r="U16" s="205"/>
      <c r="V16" s="205"/>
      <c r="W16" s="208"/>
      <c r="X16" s="209">
        <f t="shared" si="2"/>
        <v>13.5</v>
      </c>
      <c r="Y16" s="205"/>
      <c r="Z16" s="205"/>
      <c r="AA16" s="205"/>
      <c r="AB16" s="208"/>
      <c r="AC16" s="209">
        <f t="shared" si="3"/>
        <v>15</v>
      </c>
      <c r="AD16" s="205">
        <v>10</v>
      </c>
      <c r="AE16" s="205"/>
      <c r="AF16" s="205"/>
      <c r="AG16" s="208"/>
      <c r="AH16" s="209">
        <f t="shared" si="4"/>
        <v>25</v>
      </c>
      <c r="AI16" s="205"/>
      <c r="AJ16" s="205"/>
      <c r="AK16" s="205"/>
      <c r="AL16" s="208"/>
      <c r="AM16" s="209">
        <f t="shared" si="5"/>
        <v>22.5</v>
      </c>
      <c r="AN16" s="205"/>
      <c r="AO16" s="205"/>
      <c r="AP16" s="210"/>
      <c r="AQ16" s="211"/>
    </row>
    <row r="17" spans="1:43" ht="39" customHeight="1">
      <c r="A17" s="212"/>
      <c r="B17" s="213"/>
      <c r="C17" s="217" t="s">
        <v>210</v>
      </c>
      <c r="D17" s="231" t="s">
        <v>170</v>
      </c>
      <c r="E17" s="227">
        <v>37.5</v>
      </c>
      <c r="F17" s="228">
        <v>3.7499999999999999E-2</v>
      </c>
      <c r="G17" s="228">
        <v>0</v>
      </c>
      <c r="H17" s="229">
        <f t="shared" si="6"/>
        <v>0.375</v>
      </c>
      <c r="I17" s="230">
        <v>10</v>
      </c>
      <c r="J17" s="335" t="s">
        <v>372</v>
      </c>
      <c r="K17" s="334" t="s">
        <v>378</v>
      </c>
      <c r="L17" s="352" t="s">
        <v>371</v>
      </c>
      <c r="M17" s="349" t="s">
        <v>190</v>
      </c>
      <c r="N17" s="203">
        <f t="shared" si="0"/>
        <v>0.82499999999999996</v>
      </c>
      <c r="O17" s="204"/>
      <c r="P17" s="205"/>
      <c r="Q17" s="205"/>
      <c r="R17" s="206"/>
      <c r="S17" s="207">
        <f t="shared" si="1"/>
        <v>0.9375</v>
      </c>
      <c r="T17" s="204"/>
      <c r="U17" s="205"/>
      <c r="V17" s="205"/>
      <c r="W17" s="208"/>
      <c r="X17" s="209">
        <f t="shared" si="2"/>
        <v>1.0125</v>
      </c>
      <c r="Y17" s="205"/>
      <c r="Z17" s="205"/>
      <c r="AA17" s="205"/>
      <c r="AB17" s="208"/>
      <c r="AC17" s="209">
        <f t="shared" si="3"/>
        <v>1.125</v>
      </c>
      <c r="AD17" s="205" t="s">
        <v>171</v>
      </c>
      <c r="AE17" s="205"/>
      <c r="AF17" s="205"/>
      <c r="AG17" s="208"/>
      <c r="AH17" s="209">
        <f t="shared" si="4"/>
        <v>1.875</v>
      </c>
      <c r="AI17" s="205"/>
      <c r="AJ17" s="205"/>
      <c r="AK17" s="205"/>
      <c r="AL17" s="208"/>
      <c r="AM17" s="209">
        <f t="shared" si="5"/>
        <v>1.6875</v>
      </c>
      <c r="AN17" s="205"/>
      <c r="AO17" s="205"/>
      <c r="AP17" s="210"/>
      <c r="AQ17" s="211"/>
    </row>
    <row r="18" spans="1:43" ht="33" customHeight="1">
      <c r="A18" s="212"/>
      <c r="B18" s="213"/>
      <c r="C18" s="217" t="s">
        <v>208</v>
      </c>
      <c r="D18" s="231" t="s">
        <v>170</v>
      </c>
      <c r="E18" s="227">
        <v>46</v>
      </c>
      <c r="F18" s="228">
        <v>4.5999999999999999E-2</v>
      </c>
      <c r="G18" s="228">
        <v>0</v>
      </c>
      <c r="H18" s="229">
        <f t="shared" si="6"/>
        <v>0.46</v>
      </c>
      <c r="I18" s="230">
        <v>5</v>
      </c>
      <c r="J18" s="335" t="s">
        <v>366</v>
      </c>
      <c r="K18" s="334" t="s">
        <v>373</v>
      </c>
      <c r="L18" s="352" t="s">
        <v>371</v>
      </c>
      <c r="M18" s="349" t="s">
        <v>190</v>
      </c>
      <c r="N18" s="203">
        <f t="shared" si="0"/>
        <v>1.012</v>
      </c>
      <c r="O18" s="204"/>
      <c r="P18" s="205"/>
      <c r="Q18" s="205"/>
      <c r="R18" s="206"/>
      <c r="S18" s="207">
        <f t="shared" si="1"/>
        <v>1.1499999999999999</v>
      </c>
      <c r="T18" s="204"/>
      <c r="U18" s="205"/>
      <c r="V18" s="205"/>
      <c r="W18" s="208"/>
      <c r="X18" s="209">
        <f t="shared" si="2"/>
        <v>1.242</v>
      </c>
      <c r="Y18" s="205"/>
      <c r="Z18" s="205"/>
      <c r="AA18" s="205"/>
      <c r="AB18" s="208"/>
      <c r="AC18" s="209">
        <f t="shared" si="3"/>
        <v>1.38</v>
      </c>
      <c r="AD18" s="205" t="s">
        <v>171</v>
      </c>
      <c r="AE18" s="205"/>
      <c r="AF18" s="205"/>
      <c r="AG18" s="208"/>
      <c r="AH18" s="209">
        <f t="shared" si="4"/>
        <v>2.2999999999999998</v>
      </c>
      <c r="AI18" s="205"/>
      <c r="AJ18" s="205"/>
      <c r="AK18" s="205"/>
      <c r="AL18" s="208"/>
      <c r="AM18" s="209">
        <f t="shared" si="5"/>
        <v>2.0699999999999998</v>
      </c>
      <c r="AN18" s="205"/>
      <c r="AO18" s="205"/>
      <c r="AP18" s="210"/>
      <c r="AQ18" s="211"/>
    </row>
    <row r="19" spans="1:43" ht="22.5" customHeight="1">
      <c r="A19" s="201"/>
      <c r="B19" s="202"/>
      <c r="C19" s="217" t="s">
        <v>209</v>
      </c>
      <c r="D19" s="231" t="s">
        <v>170</v>
      </c>
      <c r="E19" s="227">
        <v>37</v>
      </c>
      <c r="F19" s="228">
        <v>3.6999999999999998E-2</v>
      </c>
      <c r="G19" s="228">
        <v>0</v>
      </c>
      <c r="H19" s="229">
        <f t="shared" si="6"/>
        <v>0.37</v>
      </c>
      <c r="I19" s="230">
        <v>0</v>
      </c>
      <c r="J19" s="335" t="s">
        <v>367</v>
      </c>
      <c r="K19" s="334"/>
      <c r="L19" s="352" t="s">
        <v>374</v>
      </c>
      <c r="M19" s="349" t="s">
        <v>191</v>
      </c>
      <c r="N19" s="203">
        <f t="shared" si="0"/>
        <v>0.81399999999999995</v>
      </c>
      <c r="O19" s="204"/>
      <c r="P19" s="205"/>
      <c r="Q19" s="205"/>
      <c r="R19" s="206"/>
      <c r="S19" s="207">
        <f t="shared" si="1"/>
        <v>0.92500000000000004</v>
      </c>
      <c r="T19" s="204"/>
      <c r="U19" s="205"/>
      <c r="V19" s="205"/>
      <c r="W19" s="208"/>
      <c r="X19" s="209">
        <f t="shared" si="2"/>
        <v>0.999</v>
      </c>
      <c r="Y19" s="205"/>
      <c r="Z19" s="205"/>
      <c r="AA19" s="205"/>
      <c r="AB19" s="208"/>
      <c r="AC19" s="209">
        <f t="shared" si="3"/>
        <v>1.1100000000000001</v>
      </c>
      <c r="AD19" s="205" t="s">
        <v>172</v>
      </c>
      <c r="AE19" s="205"/>
      <c r="AF19" s="205"/>
      <c r="AG19" s="208"/>
      <c r="AH19" s="209">
        <f t="shared" si="4"/>
        <v>1.85</v>
      </c>
      <c r="AI19" s="205"/>
      <c r="AJ19" s="205"/>
      <c r="AK19" s="205"/>
      <c r="AL19" s="208"/>
      <c r="AM19" s="209">
        <f t="shared" si="5"/>
        <v>1.665</v>
      </c>
      <c r="AN19" s="205"/>
      <c r="AO19" s="205"/>
      <c r="AP19" s="210"/>
      <c r="AQ19" s="211"/>
    </row>
    <row r="20" spans="1:43" ht="33" customHeight="1">
      <c r="A20" s="212"/>
      <c r="B20" s="213"/>
      <c r="C20" s="217" t="s">
        <v>211</v>
      </c>
      <c r="D20" s="231" t="s">
        <v>170</v>
      </c>
      <c r="E20" s="227">
        <v>45</v>
      </c>
      <c r="F20" s="228">
        <v>4.4999999999999998E-2</v>
      </c>
      <c r="G20" s="228">
        <v>0</v>
      </c>
      <c r="H20" s="229">
        <f t="shared" si="6"/>
        <v>0.45</v>
      </c>
      <c r="I20" s="230">
        <v>10</v>
      </c>
      <c r="J20" s="335" t="s">
        <v>368</v>
      </c>
      <c r="K20" s="334" t="s">
        <v>369</v>
      </c>
      <c r="L20" s="352" t="s">
        <v>371</v>
      </c>
      <c r="M20" s="349" t="s">
        <v>190</v>
      </c>
      <c r="N20" s="203">
        <f t="shared" si="0"/>
        <v>0.99</v>
      </c>
      <c r="O20" s="204"/>
      <c r="P20" s="205"/>
      <c r="Q20" s="205"/>
      <c r="R20" s="206"/>
      <c r="S20" s="207">
        <f t="shared" si="1"/>
        <v>1.125</v>
      </c>
      <c r="T20" s="204"/>
      <c r="U20" s="205"/>
      <c r="V20" s="205"/>
      <c r="W20" s="208"/>
      <c r="X20" s="209">
        <f t="shared" si="2"/>
        <v>1.2150000000000001</v>
      </c>
      <c r="Y20" s="205"/>
      <c r="Z20" s="205"/>
      <c r="AA20" s="205"/>
      <c r="AB20" s="208"/>
      <c r="AC20" s="209">
        <f t="shared" si="3"/>
        <v>1.35</v>
      </c>
      <c r="AD20" s="205">
        <v>1</v>
      </c>
      <c r="AE20" s="205"/>
      <c r="AF20" s="205"/>
      <c r="AG20" s="208"/>
      <c r="AH20" s="209">
        <f t="shared" si="4"/>
        <v>2.25</v>
      </c>
      <c r="AI20" s="205"/>
      <c r="AJ20" s="205"/>
      <c r="AK20" s="205"/>
      <c r="AL20" s="208"/>
      <c r="AM20" s="209">
        <f t="shared" si="5"/>
        <v>2.0249999999999999</v>
      </c>
      <c r="AN20" s="205"/>
      <c r="AO20" s="205"/>
      <c r="AP20" s="210"/>
      <c r="AQ20" s="211"/>
    </row>
    <row r="21" spans="1:43" ht="33" customHeight="1">
      <c r="A21" s="212"/>
      <c r="B21" s="213"/>
      <c r="C21" s="217" t="s">
        <v>212</v>
      </c>
      <c r="D21" s="231" t="s">
        <v>170</v>
      </c>
      <c r="E21" s="227">
        <v>45</v>
      </c>
      <c r="F21" s="228">
        <v>4.4999999999999998E-2</v>
      </c>
      <c r="G21" s="228">
        <v>0</v>
      </c>
      <c r="H21" s="229">
        <f t="shared" si="6"/>
        <v>0.45</v>
      </c>
      <c r="I21" s="230">
        <v>0</v>
      </c>
      <c r="J21" s="335" t="s">
        <v>370</v>
      </c>
      <c r="K21" s="335"/>
      <c r="L21" s="352" t="s">
        <v>364</v>
      </c>
      <c r="M21" s="349" t="s">
        <v>189</v>
      </c>
      <c r="N21" s="203">
        <f t="shared" si="0"/>
        <v>0.99</v>
      </c>
      <c r="O21" s="204"/>
      <c r="P21" s="205"/>
      <c r="Q21" s="205"/>
      <c r="R21" s="206"/>
      <c r="S21" s="207">
        <f t="shared" si="1"/>
        <v>1.125</v>
      </c>
      <c r="T21" s="204"/>
      <c r="U21" s="205"/>
      <c r="V21" s="205"/>
      <c r="W21" s="208"/>
      <c r="X21" s="209">
        <f t="shared" si="2"/>
        <v>1.2150000000000001</v>
      </c>
      <c r="Y21" s="205"/>
      <c r="Z21" s="205"/>
      <c r="AA21" s="205"/>
      <c r="AB21" s="208"/>
      <c r="AC21" s="209">
        <f t="shared" si="3"/>
        <v>1.35</v>
      </c>
      <c r="AD21" s="205">
        <v>2</v>
      </c>
      <c r="AE21" s="205"/>
      <c r="AF21" s="205"/>
      <c r="AG21" s="208"/>
      <c r="AH21" s="209">
        <f t="shared" si="4"/>
        <v>2.25</v>
      </c>
      <c r="AI21" s="205"/>
      <c r="AJ21" s="205"/>
      <c r="AK21" s="205"/>
      <c r="AL21" s="208"/>
      <c r="AM21" s="209">
        <f t="shared" si="5"/>
        <v>2.0249999999999999</v>
      </c>
      <c r="AN21" s="205"/>
      <c r="AO21" s="205"/>
      <c r="AP21" s="210"/>
      <c r="AQ21" s="211"/>
    </row>
    <row r="22" spans="1:43" ht="86.25" customHeight="1">
      <c r="A22" s="201"/>
      <c r="B22" s="202"/>
      <c r="C22" s="217" t="s">
        <v>213</v>
      </c>
      <c r="D22" s="231" t="s">
        <v>170</v>
      </c>
      <c r="E22" s="227">
        <v>0</v>
      </c>
      <c r="F22" s="228">
        <v>0</v>
      </c>
      <c r="G22" s="228">
        <v>0</v>
      </c>
      <c r="H22" s="229">
        <v>0.2</v>
      </c>
      <c r="I22" s="230">
        <v>1</v>
      </c>
      <c r="J22" s="335" t="s">
        <v>375</v>
      </c>
      <c r="K22" s="335" t="s">
        <v>421</v>
      </c>
      <c r="L22" s="352" t="s">
        <v>419</v>
      </c>
      <c r="M22" s="349" t="s">
        <v>189</v>
      </c>
      <c r="N22" s="203">
        <f t="shared" si="0"/>
        <v>0</v>
      </c>
      <c r="O22" s="204"/>
      <c r="P22" s="205"/>
      <c r="Q22" s="205"/>
      <c r="R22" s="206"/>
      <c r="S22" s="207">
        <f t="shared" si="1"/>
        <v>0</v>
      </c>
      <c r="T22" s="204"/>
      <c r="U22" s="205"/>
      <c r="V22" s="205"/>
      <c r="W22" s="208"/>
      <c r="X22" s="209">
        <f t="shared" si="2"/>
        <v>0</v>
      </c>
      <c r="Y22" s="205"/>
      <c r="Z22" s="205"/>
      <c r="AA22" s="205"/>
      <c r="AB22" s="208"/>
      <c r="AC22" s="209">
        <f t="shared" si="3"/>
        <v>0</v>
      </c>
      <c r="AD22" s="205" t="s">
        <v>173</v>
      </c>
      <c r="AE22" s="205"/>
      <c r="AF22" s="205"/>
      <c r="AG22" s="208"/>
      <c r="AH22" s="209">
        <f t="shared" si="4"/>
        <v>0</v>
      </c>
      <c r="AI22" s="205"/>
      <c r="AJ22" s="205"/>
      <c r="AK22" s="205"/>
      <c r="AL22" s="208"/>
      <c r="AM22" s="209">
        <f t="shared" si="5"/>
        <v>0</v>
      </c>
      <c r="AN22" s="205"/>
      <c r="AO22" s="205"/>
      <c r="AP22" s="210"/>
      <c r="AQ22" s="211"/>
    </row>
    <row r="23" spans="1:43" ht="84" customHeight="1">
      <c r="A23" s="212"/>
      <c r="B23" s="213"/>
      <c r="C23" s="217" t="s">
        <v>214</v>
      </c>
      <c r="D23" s="231" t="s">
        <v>170</v>
      </c>
      <c r="E23" s="227">
        <v>79</v>
      </c>
      <c r="F23" s="228">
        <v>7.9000000000000001E-2</v>
      </c>
      <c r="G23" s="228">
        <v>0</v>
      </c>
      <c r="H23" s="229">
        <f t="shared" si="6"/>
        <v>0.79</v>
      </c>
      <c r="I23" s="230">
        <v>1</v>
      </c>
      <c r="J23" s="335" t="s">
        <v>376</v>
      </c>
      <c r="K23" s="335" t="s">
        <v>421</v>
      </c>
      <c r="L23" s="352" t="s">
        <v>419</v>
      </c>
      <c r="M23" s="349" t="s">
        <v>420</v>
      </c>
      <c r="N23" s="203">
        <f t="shared" si="0"/>
        <v>1.738</v>
      </c>
      <c r="O23" s="204"/>
      <c r="P23" s="205"/>
      <c r="Q23" s="205"/>
      <c r="R23" s="206"/>
      <c r="S23" s="207">
        <f t="shared" si="1"/>
        <v>1.9750000000000001</v>
      </c>
      <c r="T23" s="204"/>
      <c r="U23" s="205"/>
      <c r="V23" s="205"/>
      <c r="W23" s="208"/>
      <c r="X23" s="209">
        <f t="shared" si="2"/>
        <v>2.133</v>
      </c>
      <c r="Y23" s="205"/>
      <c r="Z23" s="205"/>
      <c r="AA23" s="205"/>
      <c r="AB23" s="208"/>
      <c r="AC23" s="209">
        <f t="shared" si="3"/>
        <v>2.37</v>
      </c>
      <c r="AD23" s="205">
        <v>3</v>
      </c>
      <c r="AE23" s="205"/>
      <c r="AF23" s="205"/>
      <c r="AG23" s="208"/>
      <c r="AH23" s="209">
        <f t="shared" si="4"/>
        <v>3.95</v>
      </c>
      <c r="AI23" s="205"/>
      <c r="AJ23" s="205"/>
      <c r="AK23" s="205"/>
      <c r="AL23" s="208"/>
      <c r="AM23" s="209">
        <f t="shared" si="5"/>
        <v>3.5550000000000002</v>
      </c>
      <c r="AN23" s="205"/>
      <c r="AO23" s="205"/>
      <c r="AP23" s="210"/>
      <c r="AQ23" s="211"/>
    </row>
    <row r="24" spans="1:43" ht="33" customHeight="1">
      <c r="A24" s="212"/>
      <c r="B24" s="213"/>
      <c r="C24" s="217" t="s">
        <v>215</v>
      </c>
      <c r="D24" s="231" t="s">
        <v>170</v>
      </c>
      <c r="E24" s="227">
        <v>200</v>
      </c>
      <c r="F24" s="228">
        <v>0.2</v>
      </c>
      <c r="G24" s="228">
        <v>0</v>
      </c>
      <c r="H24" s="229">
        <f t="shared" si="6"/>
        <v>2</v>
      </c>
      <c r="I24" s="230">
        <v>0</v>
      </c>
      <c r="J24" s="335" t="s">
        <v>370</v>
      </c>
      <c r="K24" s="335"/>
      <c r="L24" s="352" t="s">
        <v>364</v>
      </c>
      <c r="M24" s="349" t="s">
        <v>189</v>
      </c>
      <c r="N24" s="203">
        <f t="shared" si="0"/>
        <v>4.4000000000000004</v>
      </c>
      <c r="O24" s="204"/>
      <c r="P24" s="205"/>
      <c r="Q24" s="205"/>
      <c r="R24" s="206"/>
      <c r="S24" s="207">
        <f t="shared" si="1"/>
        <v>5</v>
      </c>
      <c r="T24" s="204"/>
      <c r="U24" s="205"/>
      <c r="V24" s="205"/>
      <c r="W24" s="208"/>
      <c r="X24" s="209">
        <f t="shared" si="2"/>
        <v>5.4</v>
      </c>
      <c r="Y24" s="205"/>
      <c r="Z24" s="205"/>
      <c r="AA24" s="205"/>
      <c r="AB24" s="208"/>
      <c r="AC24" s="209">
        <f t="shared" si="3"/>
        <v>6</v>
      </c>
      <c r="AD24" s="205">
        <v>4</v>
      </c>
      <c r="AE24" s="205"/>
      <c r="AF24" s="205"/>
      <c r="AG24" s="208"/>
      <c r="AH24" s="209">
        <f t="shared" si="4"/>
        <v>10</v>
      </c>
      <c r="AI24" s="205"/>
      <c r="AJ24" s="205"/>
      <c r="AK24" s="205"/>
      <c r="AL24" s="208"/>
      <c r="AM24" s="209">
        <f t="shared" si="5"/>
        <v>9</v>
      </c>
      <c r="AN24" s="205"/>
      <c r="AO24" s="205"/>
      <c r="AP24" s="210"/>
      <c r="AQ24" s="211"/>
    </row>
    <row r="25" spans="1:43" ht="33" customHeight="1">
      <c r="A25" s="201"/>
      <c r="B25" s="202"/>
      <c r="C25" s="217" t="s">
        <v>216</v>
      </c>
      <c r="D25" s="231" t="s">
        <v>170</v>
      </c>
      <c r="E25" s="227">
        <v>60</v>
      </c>
      <c r="F25" s="228">
        <v>0.06</v>
      </c>
      <c r="G25" s="228">
        <v>0</v>
      </c>
      <c r="H25" s="229">
        <f t="shared" si="6"/>
        <v>0.6</v>
      </c>
      <c r="I25" s="230">
        <v>0</v>
      </c>
      <c r="J25" s="334" t="s">
        <v>365</v>
      </c>
      <c r="K25" s="335"/>
      <c r="L25" s="352" t="s">
        <v>364</v>
      </c>
      <c r="M25" s="349" t="s">
        <v>189</v>
      </c>
      <c r="N25" s="203">
        <f t="shared" si="0"/>
        <v>1.32</v>
      </c>
      <c r="O25" s="204"/>
      <c r="P25" s="205"/>
      <c r="Q25" s="205"/>
      <c r="R25" s="206"/>
      <c r="S25" s="207">
        <f t="shared" si="1"/>
        <v>1.5</v>
      </c>
      <c r="T25" s="204"/>
      <c r="U25" s="205"/>
      <c r="V25" s="205"/>
      <c r="W25" s="208"/>
      <c r="X25" s="209">
        <f t="shared" si="2"/>
        <v>1.62</v>
      </c>
      <c r="Y25" s="205"/>
      <c r="Z25" s="205"/>
      <c r="AA25" s="205"/>
      <c r="AB25" s="208"/>
      <c r="AC25" s="209">
        <f t="shared" si="3"/>
        <v>1.8</v>
      </c>
      <c r="AD25" s="205">
        <v>2</v>
      </c>
      <c r="AE25" s="205"/>
      <c r="AF25" s="205"/>
      <c r="AG25" s="208"/>
      <c r="AH25" s="209">
        <f t="shared" si="4"/>
        <v>3</v>
      </c>
      <c r="AI25" s="205"/>
      <c r="AJ25" s="205"/>
      <c r="AK25" s="205"/>
      <c r="AL25" s="208"/>
      <c r="AM25" s="209">
        <f t="shared" si="5"/>
        <v>2.7</v>
      </c>
      <c r="AN25" s="205"/>
      <c r="AO25" s="205"/>
      <c r="AP25" s="210"/>
      <c r="AQ25" s="211"/>
    </row>
    <row r="26" spans="1:43" ht="33" customHeight="1">
      <c r="A26" s="212"/>
      <c r="B26" s="213"/>
      <c r="C26" s="217" t="s">
        <v>217</v>
      </c>
      <c r="D26" s="231" t="s">
        <v>170</v>
      </c>
      <c r="E26" s="227">
        <v>90</v>
      </c>
      <c r="F26" s="228">
        <v>0.09</v>
      </c>
      <c r="G26" s="228">
        <v>0</v>
      </c>
      <c r="H26" s="229">
        <f t="shared" si="6"/>
        <v>0.9</v>
      </c>
      <c r="I26" s="230">
        <v>0</v>
      </c>
      <c r="J26" s="335" t="s">
        <v>377</v>
      </c>
      <c r="K26" s="335"/>
      <c r="L26" s="352" t="s">
        <v>364</v>
      </c>
      <c r="M26" s="349" t="s">
        <v>189</v>
      </c>
      <c r="N26" s="203">
        <f t="shared" si="0"/>
        <v>1.98</v>
      </c>
      <c r="O26" s="204"/>
      <c r="P26" s="205"/>
      <c r="Q26" s="205"/>
      <c r="R26" s="206"/>
      <c r="S26" s="207">
        <f t="shared" si="1"/>
        <v>2.25</v>
      </c>
      <c r="T26" s="204"/>
      <c r="U26" s="205"/>
      <c r="V26" s="205"/>
      <c r="W26" s="208"/>
      <c r="X26" s="209">
        <f t="shared" si="2"/>
        <v>2.4300000000000002</v>
      </c>
      <c r="Y26" s="205"/>
      <c r="Z26" s="205"/>
      <c r="AA26" s="205"/>
      <c r="AB26" s="208"/>
      <c r="AC26" s="209">
        <f t="shared" si="3"/>
        <v>2.7</v>
      </c>
      <c r="AD26" s="205">
        <v>3</v>
      </c>
      <c r="AE26" s="205"/>
      <c r="AF26" s="205"/>
      <c r="AG26" s="208"/>
      <c r="AH26" s="209">
        <f t="shared" si="4"/>
        <v>4.5</v>
      </c>
      <c r="AI26" s="205"/>
      <c r="AJ26" s="205"/>
      <c r="AK26" s="205"/>
      <c r="AL26" s="208"/>
      <c r="AM26" s="209">
        <f t="shared" si="5"/>
        <v>4.05</v>
      </c>
      <c r="AN26" s="205"/>
      <c r="AO26" s="205"/>
      <c r="AP26" s="210"/>
      <c r="AQ26" s="211"/>
    </row>
    <row r="27" spans="1:43" ht="52.5" customHeight="1">
      <c r="A27" s="212"/>
      <c r="B27" s="213"/>
      <c r="C27" s="217" t="s">
        <v>261</v>
      </c>
      <c r="D27" s="231" t="s">
        <v>170</v>
      </c>
      <c r="E27" s="227">
        <v>45</v>
      </c>
      <c r="F27" s="228">
        <v>4.4999999999999998E-2</v>
      </c>
      <c r="G27" s="228">
        <v>0</v>
      </c>
      <c r="H27" s="229">
        <f t="shared" si="6"/>
        <v>0.45</v>
      </c>
      <c r="I27" s="230">
        <v>15</v>
      </c>
      <c r="J27" s="335" t="s">
        <v>384</v>
      </c>
      <c r="K27" s="335" t="s">
        <v>379</v>
      </c>
      <c r="L27" s="352" t="s">
        <v>364</v>
      </c>
      <c r="M27" s="349" t="s">
        <v>192</v>
      </c>
      <c r="N27" s="203">
        <f t="shared" si="0"/>
        <v>0.99</v>
      </c>
      <c r="O27" s="204"/>
      <c r="P27" s="205"/>
      <c r="Q27" s="205"/>
      <c r="R27" s="206"/>
      <c r="S27" s="207">
        <f t="shared" si="1"/>
        <v>1.125</v>
      </c>
      <c r="T27" s="204"/>
      <c r="U27" s="205"/>
      <c r="V27" s="205"/>
      <c r="W27" s="208"/>
      <c r="X27" s="209">
        <f t="shared" si="2"/>
        <v>1.2150000000000001</v>
      </c>
      <c r="Y27" s="205"/>
      <c r="Z27" s="205"/>
      <c r="AA27" s="205"/>
      <c r="AB27" s="208"/>
      <c r="AC27" s="209">
        <f t="shared" si="3"/>
        <v>1.35</v>
      </c>
      <c r="AD27" s="205">
        <v>2</v>
      </c>
      <c r="AE27" s="205"/>
      <c r="AF27" s="205"/>
      <c r="AG27" s="208"/>
      <c r="AH27" s="209">
        <f t="shared" si="4"/>
        <v>2.25</v>
      </c>
      <c r="AI27" s="205"/>
      <c r="AJ27" s="205"/>
      <c r="AK27" s="205"/>
      <c r="AL27" s="208"/>
      <c r="AM27" s="209">
        <f t="shared" si="5"/>
        <v>2.0249999999999999</v>
      </c>
      <c r="AN27" s="205"/>
      <c r="AO27" s="205"/>
      <c r="AP27" s="210"/>
      <c r="AQ27" s="211"/>
    </row>
    <row r="28" spans="1:43" ht="52.5" customHeight="1">
      <c r="A28" s="201"/>
      <c r="B28" s="202"/>
      <c r="C28" s="217" t="s">
        <v>262</v>
      </c>
      <c r="D28" s="231" t="s">
        <v>170</v>
      </c>
      <c r="E28" s="227">
        <v>18</v>
      </c>
      <c r="F28" s="228">
        <v>1.7999999999999999E-2</v>
      </c>
      <c r="G28" s="228">
        <v>0</v>
      </c>
      <c r="H28" s="229">
        <f t="shared" si="6"/>
        <v>0.18</v>
      </c>
      <c r="I28" s="230">
        <v>5</v>
      </c>
      <c r="J28" s="335" t="s">
        <v>384</v>
      </c>
      <c r="K28" s="335" t="s">
        <v>379</v>
      </c>
      <c r="L28" s="352" t="s">
        <v>364</v>
      </c>
      <c r="M28" s="349" t="s">
        <v>192</v>
      </c>
      <c r="N28" s="203">
        <f t="shared" si="0"/>
        <v>0.39599999999999996</v>
      </c>
      <c r="O28" s="204"/>
      <c r="P28" s="205"/>
      <c r="Q28" s="205"/>
      <c r="R28" s="206"/>
      <c r="S28" s="207">
        <f t="shared" si="1"/>
        <v>0.44999999999999996</v>
      </c>
      <c r="T28" s="204"/>
      <c r="U28" s="205"/>
      <c r="V28" s="205"/>
      <c r="W28" s="208"/>
      <c r="X28" s="209">
        <f t="shared" si="2"/>
        <v>0.48599999999999993</v>
      </c>
      <c r="Y28" s="205"/>
      <c r="Z28" s="205"/>
      <c r="AA28" s="205"/>
      <c r="AB28" s="208"/>
      <c r="AC28" s="209">
        <f t="shared" si="3"/>
        <v>0.54</v>
      </c>
      <c r="AD28" s="205" t="s">
        <v>172</v>
      </c>
      <c r="AE28" s="205"/>
      <c r="AF28" s="205"/>
      <c r="AG28" s="208"/>
      <c r="AH28" s="209">
        <f t="shared" si="4"/>
        <v>0.89999999999999991</v>
      </c>
      <c r="AI28" s="205"/>
      <c r="AJ28" s="205"/>
      <c r="AK28" s="205"/>
      <c r="AL28" s="208"/>
      <c r="AM28" s="209">
        <f t="shared" si="5"/>
        <v>0.80999999999999983</v>
      </c>
      <c r="AN28" s="205"/>
      <c r="AO28" s="205"/>
      <c r="AP28" s="210"/>
      <c r="AQ28" s="211"/>
    </row>
    <row r="29" spans="1:43" ht="52.5" customHeight="1">
      <c r="A29" s="212"/>
      <c r="B29" s="213"/>
      <c r="C29" s="217" t="s">
        <v>218</v>
      </c>
      <c r="D29" s="231" t="s">
        <v>170</v>
      </c>
      <c r="E29" s="227">
        <v>80</v>
      </c>
      <c r="F29" s="228">
        <v>0.08</v>
      </c>
      <c r="G29" s="228">
        <v>0</v>
      </c>
      <c r="H29" s="229">
        <f t="shared" si="6"/>
        <v>0.8</v>
      </c>
      <c r="I29" s="230">
        <v>10</v>
      </c>
      <c r="J29" s="335" t="s">
        <v>385</v>
      </c>
      <c r="K29" s="335" t="s">
        <v>386</v>
      </c>
      <c r="L29" s="352" t="s">
        <v>364</v>
      </c>
      <c r="M29" s="349" t="s">
        <v>192</v>
      </c>
      <c r="N29" s="203">
        <f t="shared" si="0"/>
        <v>1.76</v>
      </c>
      <c r="O29" s="204"/>
      <c r="P29" s="205"/>
      <c r="Q29" s="205"/>
      <c r="R29" s="206"/>
      <c r="S29" s="207">
        <f t="shared" si="1"/>
        <v>2</v>
      </c>
      <c r="T29" s="204"/>
      <c r="U29" s="205"/>
      <c r="V29" s="205"/>
      <c r="W29" s="208"/>
      <c r="X29" s="209">
        <f t="shared" si="2"/>
        <v>2.16</v>
      </c>
      <c r="Y29" s="205"/>
      <c r="Z29" s="205"/>
      <c r="AA29" s="205"/>
      <c r="AB29" s="208"/>
      <c r="AC29" s="209">
        <f t="shared" si="3"/>
        <v>2.4</v>
      </c>
      <c r="AD29" s="205">
        <v>2</v>
      </c>
      <c r="AE29" s="205"/>
      <c r="AF29" s="205"/>
      <c r="AG29" s="208"/>
      <c r="AH29" s="209">
        <f t="shared" si="4"/>
        <v>4</v>
      </c>
      <c r="AI29" s="205"/>
      <c r="AJ29" s="205"/>
      <c r="AK29" s="205"/>
      <c r="AL29" s="208"/>
      <c r="AM29" s="209">
        <f t="shared" si="5"/>
        <v>3.6</v>
      </c>
      <c r="AN29" s="205"/>
      <c r="AO29" s="205"/>
      <c r="AP29" s="210"/>
      <c r="AQ29" s="211"/>
    </row>
    <row r="30" spans="1:43" ht="34.5" customHeight="1">
      <c r="A30" s="212"/>
      <c r="B30" s="213"/>
      <c r="C30" s="217" t="s">
        <v>219</v>
      </c>
      <c r="D30" s="231" t="s">
        <v>175</v>
      </c>
      <c r="E30" s="227">
        <v>8.5</v>
      </c>
      <c r="F30" s="228">
        <v>8.5000000000000006E-3</v>
      </c>
      <c r="G30" s="228">
        <v>0</v>
      </c>
      <c r="H30" s="229">
        <f t="shared" si="6"/>
        <v>8.5000000000000006E-2</v>
      </c>
      <c r="I30" s="230">
        <v>0</v>
      </c>
      <c r="J30" s="335" t="s">
        <v>387</v>
      </c>
      <c r="K30" s="335" t="s">
        <v>422</v>
      </c>
      <c r="L30" s="352" t="s">
        <v>380</v>
      </c>
      <c r="M30" s="349" t="s">
        <v>201</v>
      </c>
      <c r="N30" s="203">
        <f t="shared" si="0"/>
        <v>0.187</v>
      </c>
      <c r="O30" s="204"/>
      <c r="P30" s="205"/>
      <c r="Q30" s="205"/>
      <c r="R30" s="206"/>
      <c r="S30" s="207">
        <f t="shared" si="1"/>
        <v>0.21250000000000002</v>
      </c>
      <c r="T30" s="204"/>
      <c r="U30" s="205"/>
      <c r="V30" s="205"/>
      <c r="W30" s="208"/>
      <c r="X30" s="209">
        <f t="shared" si="2"/>
        <v>0.22950000000000004</v>
      </c>
      <c r="Y30" s="205"/>
      <c r="Z30" s="205"/>
      <c r="AA30" s="205"/>
      <c r="AB30" s="208"/>
      <c r="AC30" s="209">
        <f t="shared" si="3"/>
        <v>0.255</v>
      </c>
      <c r="AD30" s="205" t="s">
        <v>174</v>
      </c>
      <c r="AE30" s="205"/>
      <c r="AF30" s="205"/>
      <c r="AG30" s="208"/>
      <c r="AH30" s="209">
        <f t="shared" si="4"/>
        <v>0.42500000000000004</v>
      </c>
      <c r="AI30" s="205"/>
      <c r="AJ30" s="205"/>
      <c r="AK30" s="205"/>
      <c r="AL30" s="208"/>
      <c r="AM30" s="209">
        <f t="shared" si="5"/>
        <v>0.38250000000000001</v>
      </c>
      <c r="AN30" s="205"/>
      <c r="AO30" s="205"/>
      <c r="AP30" s="210"/>
      <c r="AQ30" s="211"/>
    </row>
    <row r="31" spans="1:43" ht="48.75" customHeight="1">
      <c r="A31" s="201"/>
      <c r="B31" s="202"/>
      <c r="C31" s="217" t="s">
        <v>236</v>
      </c>
      <c r="D31" s="231" t="s">
        <v>170</v>
      </c>
      <c r="E31" s="227">
        <v>22</v>
      </c>
      <c r="F31" s="228">
        <v>2.1999999999999999E-2</v>
      </c>
      <c r="G31" s="228">
        <v>0</v>
      </c>
      <c r="H31" s="229">
        <f t="shared" si="6"/>
        <v>0.22</v>
      </c>
      <c r="I31" s="230">
        <v>3</v>
      </c>
      <c r="J31" s="335" t="s">
        <v>389</v>
      </c>
      <c r="K31" s="335" t="s">
        <v>423</v>
      </c>
      <c r="L31" s="352" t="s">
        <v>364</v>
      </c>
      <c r="M31" s="349" t="s">
        <v>192</v>
      </c>
      <c r="N31" s="203">
        <f t="shared" si="0"/>
        <v>0.48399999999999999</v>
      </c>
      <c r="O31" s="204"/>
      <c r="P31" s="205"/>
      <c r="Q31" s="205"/>
      <c r="R31" s="206"/>
      <c r="S31" s="207">
        <f t="shared" si="1"/>
        <v>0.55000000000000004</v>
      </c>
      <c r="T31" s="204"/>
      <c r="U31" s="205"/>
      <c r="V31" s="205"/>
      <c r="W31" s="208"/>
      <c r="X31" s="209">
        <f t="shared" si="2"/>
        <v>0.59399999999999997</v>
      </c>
      <c r="Y31" s="205"/>
      <c r="Z31" s="205"/>
      <c r="AA31" s="205"/>
      <c r="AB31" s="208"/>
      <c r="AC31" s="209">
        <f t="shared" si="3"/>
        <v>0.66</v>
      </c>
      <c r="AD31" s="205" t="s">
        <v>173</v>
      </c>
      <c r="AE31" s="205"/>
      <c r="AF31" s="205"/>
      <c r="AG31" s="208"/>
      <c r="AH31" s="209">
        <f t="shared" si="4"/>
        <v>1.1000000000000001</v>
      </c>
      <c r="AI31" s="205"/>
      <c r="AJ31" s="205"/>
      <c r="AK31" s="205"/>
      <c r="AL31" s="208"/>
      <c r="AM31" s="209">
        <f t="shared" si="5"/>
        <v>0.99</v>
      </c>
      <c r="AN31" s="205"/>
      <c r="AO31" s="205"/>
      <c r="AP31" s="210"/>
      <c r="AQ31" s="211"/>
    </row>
    <row r="32" spans="1:43" ht="32.25" customHeight="1">
      <c r="A32" s="212"/>
      <c r="B32" s="213"/>
      <c r="C32" s="217" t="s">
        <v>220</v>
      </c>
      <c r="D32" s="231" t="s">
        <v>175</v>
      </c>
      <c r="E32" s="227">
        <v>90</v>
      </c>
      <c r="F32" s="228">
        <v>0.09</v>
      </c>
      <c r="G32" s="228">
        <v>0</v>
      </c>
      <c r="H32" s="229">
        <f t="shared" si="6"/>
        <v>0.9</v>
      </c>
      <c r="I32" s="230">
        <v>2</v>
      </c>
      <c r="J32" s="335" t="s">
        <v>387</v>
      </c>
      <c r="K32" s="335" t="s">
        <v>424</v>
      </c>
      <c r="L32" s="352" t="s">
        <v>380</v>
      </c>
      <c r="M32" s="349" t="s">
        <v>201</v>
      </c>
      <c r="N32" s="203">
        <f t="shared" si="0"/>
        <v>1.98</v>
      </c>
      <c r="O32" s="204"/>
      <c r="P32" s="205"/>
      <c r="Q32" s="205"/>
      <c r="R32" s="206"/>
      <c r="S32" s="207">
        <f t="shared" si="1"/>
        <v>2.25</v>
      </c>
      <c r="T32" s="204"/>
      <c r="U32" s="205"/>
      <c r="V32" s="205"/>
      <c r="W32" s="208"/>
      <c r="X32" s="209">
        <f t="shared" si="2"/>
        <v>2.4300000000000002</v>
      </c>
      <c r="Y32" s="205"/>
      <c r="Z32" s="205"/>
      <c r="AA32" s="205"/>
      <c r="AB32" s="208"/>
      <c r="AC32" s="209">
        <f t="shared" si="3"/>
        <v>2.7</v>
      </c>
      <c r="AD32" s="205">
        <v>2</v>
      </c>
      <c r="AE32" s="205"/>
      <c r="AF32" s="205"/>
      <c r="AG32" s="208"/>
      <c r="AH32" s="209">
        <f t="shared" si="4"/>
        <v>4.5</v>
      </c>
      <c r="AI32" s="205"/>
      <c r="AJ32" s="205"/>
      <c r="AK32" s="205"/>
      <c r="AL32" s="208"/>
      <c r="AM32" s="209">
        <f t="shared" si="5"/>
        <v>4.05</v>
      </c>
      <c r="AN32" s="205"/>
      <c r="AO32" s="205"/>
      <c r="AP32" s="210"/>
      <c r="AQ32" s="211"/>
    </row>
    <row r="33" spans="1:43" ht="32.25" customHeight="1">
      <c r="A33" s="212"/>
      <c r="B33" s="213"/>
      <c r="C33" s="217" t="s">
        <v>221</v>
      </c>
      <c r="D33" s="231" t="s">
        <v>175</v>
      </c>
      <c r="E33" s="227">
        <v>85</v>
      </c>
      <c r="F33" s="228">
        <v>8.5000000000000006E-2</v>
      </c>
      <c r="G33" s="228">
        <v>0</v>
      </c>
      <c r="H33" s="229">
        <f t="shared" si="6"/>
        <v>0.85000000000000009</v>
      </c>
      <c r="I33" s="230">
        <v>2</v>
      </c>
      <c r="J33" s="335" t="s">
        <v>387</v>
      </c>
      <c r="K33" s="335" t="s">
        <v>424</v>
      </c>
      <c r="L33" s="352" t="s">
        <v>380</v>
      </c>
      <c r="M33" s="349" t="s">
        <v>201</v>
      </c>
      <c r="N33" s="203">
        <f t="shared" si="0"/>
        <v>1.8700000000000003</v>
      </c>
      <c r="O33" s="204"/>
      <c r="P33" s="205"/>
      <c r="Q33" s="205"/>
      <c r="R33" s="206"/>
      <c r="S33" s="207">
        <f t="shared" si="1"/>
        <v>2.125</v>
      </c>
      <c r="T33" s="204"/>
      <c r="U33" s="205"/>
      <c r="V33" s="205"/>
      <c r="W33" s="208"/>
      <c r="X33" s="209">
        <f t="shared" si="2"/>
        <v>2.2949999999999999</v>
      </c>
      <c r="Y33" s="205"/>
      <c r="Z33" s="205"/>
      <c r="AA33" s="205"/>
      <c r="AB33" s="208"/>
      <c r="AC33" s="209">
        <f t="shared" si="3"/>
        <v>2.5499999999999998</v>
      </c>
      <c r="AD33" s="205">
        <v>2</v>
      </c>
      <c r="AE33" s="205"/>
      <c r="AF33" s="205"/>
      <c r="AG33" s="208"/>
      <c r="AH33" s="209">
        <f t="shared" si="4"/>
        <v>4.25</v>
      </c>
      <c r="AI33" s="205"/>
      <c r="AJ33" s="205"/>
      <c r="AK33" s="205"/>
      <c r="AL33" s="208"/>
      <c r="AM33" s="209">
        <f t="shared" si="5"/>
        <v>3.8250000000000006</v>
      </c>
      <c r="AN33" s="205"/>
      <c r="AO33" s="205"/>
      <c r="AP33" s="210"/>
      <c r="AQ33" s="211"/>
    </row>
    <row r="34" spans="1:43" ht="30.75" customHeight="1">
      <c r="A34" s="201"/>
      <c r="B34" s="202"/>
      <c r="C34" s="217" t="s">
        <v>271</v>
      </c>
      <c r="D34" s="231" t="s">
        <v>175</v>
      </c>
      <c r="E34" s="227">
        <v>105</v>
      </c>
      <c r="F34" s="228">
        <v>0.05</v>
      </c>
      <c r="G34" s="228">
        <v>0</v>
      </c>
      <c r="H34" s="229">
        <v>0.5</v>
      </c>
      <c r="I34" s="230">
        <v>5</v>
      </c>
      <c r="J34" s="335" t="s">
        <v>387</v>
      </c>
      <c r="K34" s="335" t="s">
        <v>388</v>
      </c>
      <c r="L34" s="352" t="s">
        <v>380</v>
      </c>
      <c r="M34" s="349" t="s">
        <v>272</v>
      </c>
      <c r="N34" s="203">
        <f t="shared" si="0"/>
        <v>1.1000000000000001</v>
      </c>
      <c r="O34" s="204"/>
      <c r="P34" s="205"/>
      <c r="Q34" s="205"/>
      <c r="R34" s="206"/>
      <c r="S34" s="207">
        <f t="shared" si="1"/>
        <v>1.25</v>
      </c>
      <c r="T34" s="204"/>
      <c r="U34" s="205"/>
      <c r="V34" s="205"/>
      <c r="W34" s="208"/>
      <c r="X34" s="209">
        <f t="shared" si="2"/>
        <v>1.35</v>
      </c>
      <c r="Y34" s="205"/>
      <c r="Z34" s="205"/>
      <c r="AA34" s="205"/>
      <c r="AB34" s="208"/>
      <c r="AC34" s="209">
        <f t="shared" si="3"/>
        <v>1.5</v>
      </c>
      <c r="AD34" s="205"/>
      <c r="AE34" s="205"/>
      <c r="AF34" s="205"/>
      <c r="AG34" s="208"/>
      <c r="AH34" s="209">
        <f t="shared" si="4"/>
        <v>2.5</v>
      </c>
      <c r="AI34" s="205"/>
      <c r="AJ34" s="205"/>
      <c r="AK34" s="205"/>
      <c r="AL34" s="208"/>
      <c r="AM34" s="209">
        <f t="shared" si="5"/>
        <v>2.25</v>
      </c>
      <c r="AN34" s="205"/>
      <c r="AO34" s="205"/>
      <c r="AP34" s="210"/>
      <c r="AQ34" s="211"/>
    </row>
    <row r="35" spans="1:43" ht="18" customHeight="1">
      <c r="A35" s="201"/>
      <c r="B35" s="202"/>
      <c r="C35" s="217" t="s">
        <v>222</v>
      </c>
      <c r="D35" s="231" t="s">
        <v>170</v>
      </c>
      <c r="E35" s="227">
        <v>35</v>
      </c>
      <c r="F35" s="228">
        <v>3.3333333333333333E-2</v>
      </c>
      <c r="G35" s="228">
        <v>0</v>
      </c>
      <c r="H35" s="229">
        <f t="shared" ref="H35:H41" si="7">+F35*$H$4/1000000</f>
        <v>0.33333333333333331</v>
      </c>
      <c r="I35" s="230">
        <v>0</v>
      </c>
      <c r="J35" s="335" t="s">
        <v>370</v>
      </c>
      <c r="K35" s="335"/>
      <c r="L35" s="352" t="s">
        <v>364</v>
      </c>
      <c r="M35" s="349" t="s">
        <v>189</v>
      </c>
      <c r="N35" s="203"/>
      <c r="O35" s="204"/>
      <c r="P35" s="205"/>
      <c r="Q35" s="205"/>
      <c r="R35" s="206"/>
      <c r="S35" s="207">
        <f>+F35*$S$4/1000000</f>
        <v>0.83333333333333337</v>
      </c>
      <c r="T35" s="204"/>
      <c r="U35" s="205"/>
      <c r="V35" s="205"/>
      <c r="W35" s="208"/>
      <c r="X35" s="209">
        <f>+F35*$X$4/1000000</f>
        <v>0.9</v>
      </c>
      <c r="Y35" s="205"/>
      <c r="Z35" s="205"/>
      <c r="AA35" s="205"/>
      <c r="AB35" s="208"/>
      <c r="AC35" s="209">
        <f>+F35*$AC$4/1000000</f>
        <v>1</v>
      </c>
      <c r="AD35" s="205"/>
      <c r="AE35" s="205"/>
      <c r="AF35" s="205"/>
      <c r="AG35" s="208"/>
      <c r="AH35" s="209">
        <f>+F35*$AH$4/1000000</f>
        <v>1.6666666666666667</v>
      </c>
      <c r="AI35" s="205"/>
      <c r="AJ35" s="205"/>
      <c r="AK35" s="205"/>
      <c r="AL35" s="208"/>
      <c r="AM35" s="209">
        <f>+F35*$AM$4/1000000</f>
        <v>1.5</v>
      </c>
      <c r="AN35" s="205"/>
      <c r="AO35" s="205"/>
      <c r="AP35" s="210"/>
      <c r="AQ35" s="211"/>
    </row>
    <row r="36" spans="1:43" ht="18" customHeight="1">
      <c r="A36" s="212"/>
      <c r="B36" s="213"/>
      <c r="C36" s="217" t="s">
        <v>223</v>
      </c>
      <c r="D36" s="231" t="s">
        <v>170</v>
      </c>
      <c r="E36" s="227">
        <v>15</v>
      </c>
      <c r="F36" s="228">
        <v>1.4285714285714285E-2</v>
      </c>
      <c r="G36" s="228">
        <v>0</v>
      </c>
      <c r="H36" s="229">
        <f t="shared" si="7"/>
        <v>0.14285714285714285</v>
      </c>
      <c r="I36" s="230">
        <v>0</v>
      </c>
      <c r="J36" s="335" t="s">
        <v>370</v>
      </c>
      <c r="K36" s="335"/>
      <c r="L36" s="352" t="s">
        <v>364</v>
      </c>
      <c r="M36" s="349" t="s">
        <v>189</v>
      </c>
      <c r="N36" s="203"/>
      <c r="O36" s="204"/>
      <c r="P36" s="205"/>
      <c r="Q36" s="205"/>
      <c r="R36" s="206"/>
      <c r="S36" s="207">
        <f>+F36*$S$4/1000000</f>
        <v>0.35714285714285715</v>
      </c>
      <c r="T36" s="204"/>
      <c r="U36" s="205"/>
      <c r="V36" s="205"/>
      <c r="W36" s="208"/>
      <c r="X36" s="209">
        <f>+F36*$X$4/1000000</f>
        <v>0.38571428571428568</v>
      </c>
      <c r="Y36" s="205"/>
      <c r="Z36" s="205"/>
      <c r="AA36" s="205"/>
      <c r="AB36" s="208"/>
      <c r="AC36" s="209">
        <f>+F36*$AC$4/1000000</f>
        <v>0.4285714285714286</v>
      </c>
      <c r="AD36" s="205"/>
      <c r="AE36" s="205"/>
      <c r="AF36" s="205"/>
      <c r="AG36" s="208"/>
      <c r="AH36" s="209">
        <f>+F36*$AH$4/1000000</f>
        <v>0.7142857142857143</v>
      </c>
      <c r="AI36" s="205"/>
      <c r="AJ36" s="205"/>
      <c r="AK36" s="205"/>
      <c r="AL36" s="208"/>
      <c r="AM36" s="209">
        <f>+F36*$AM$4/1000000</f>
        <v>0.64285714285714279</v>
      </c>
      <c r="AN36" s="205"/>
      <c r="AO36" s="205"/>
      <c r="AP36" s="210"/>
      <c r="AQ36" s="211"/>
    </row>
    <row r="37" spans="1:43" ht="18" customHeight="1">
      <c r="A37" s="201"/>
      <c r="B37" s="202"/>
      <c r="C37" s="217" t="s">
        <v>225</v>
      </c>
      <c r="D37" s="231" t="s">
        <v>170</v>
      </c>
      <c r="E37" s="227">
        <v>21</v>
      </c>
      <c r="F37" s="228">
        <v>0.02</v>
      </c>
      <c r="G37" s="228">
        <v>0</v>
      </c>
      <c r="H37" s="229">
        <f t="shared" si="7"/>
        <v>0.2</v>
      </c>
      <c r="I37" s="230">
        <v>0</v>
      </c>
      <c r="J37" s="335" t="s">
        <v>367</v>
      </c>
      <c r="K37" s="335"/>
      <c r="L37" s="352" t="s">
        <v>371</v>
      </c>
      <c r="M37" s="349" t="s">
        <v>189</v>
      </c>
      <c r="N37" s="203"/>
      <c r="O37" s="204"/>
      <c r="P37" s="205"/>
      <c r="Q37" s="205"/>
      <c r="R37" s="206"/>
      <c r="S37" s="207">
        <f>+F37*$S$4/1000000</f>
        <v>0.5</v>
      </c>
      <c r="T37" s="204"/>
      <c r="U37" s="205"/>
      <c r="V37" s="205"/>
      <c r="W37" s="208"/>
      <c r="X37" s="209">
        <f>+F37*$X$4/1000000</f>
        <v>0.54</v>
      </c>
      <c r="Y37" s="205"/>
      <c r="Z37" s="205"/>
      <c r="AA37" s="205"/>
      <c r="AB37" s="208"/>
      <c r="AC37" s="209">
        <f>+F37*$AC$4/1000000</f>
        <v>0.6</v>
      </c>
      <c r="AD37" s="205"/>
      <c r="AE37" s="205"/>
      <c r="AF37" s="205"/>
      <c r="AG37" s="208"/>
      <c r="AH37" s="209">
        <f>+F37*$AH$4/1000000</f>
        <v>1</v>
      </c>
      <c r="AI37" s="205"/>
      <c r="AJ37" s="205"/>
      <c r="AK37" s="205"/>
      <c r="AL37" s="208"/>
      <c r="AM37" s="209">
        <f>+F37*$AM$4/1000000</f>
        <v>0.9</v>
      </c>
      <c r="AN37" s="205"/>
      <c r="AO37" s="205"/>
      <c r="AP37" s="210"/>
      <c r="AQ37" s="211"/>
    </row>
    <row r="38" spans="1:43" ht="70.5" customHeight="1">
      <c r="A38" s="201"/>
      <c r="B38" s="202"/>
      <c r="C38" s="217" t="s">
        <v>381</v>
      </c>
      <c r="D38" s="231" t="s">
        <v>170</v>
      </c>
      <c r="E38" s="227">
        <v>200</v>
      </c>
      <c r="F38" s="228">
        <v>0.09</v>
      </c>
      <c r="G38" s="228">
        <v>0</v>
      </c>
      <c r="H38" s="229">
        <f t="shared" si="7"/>
        <v>0.9</v>
      </c>
      <c r="I38" s="230">
        <v>10</v>
      </c>
      <c r="J38" s="335" t="s">
        <v>390</v>
      </c>
      <c r="K38" s="335" t="s">
        <v>425</v>
      </c>
      <c r="L38" s="352" t="s">
        <v>382</v>
      </c>
      <c r="M38" s="349" t="s">
        <v>198</v>
      </c>
      <c r="N38" s="203"/>
      <c r="O38" s="204"/>
      <c r="P38" s="205"/>
      <c r="Q38" s="205"/>
      <c r="R38" s="206"/>
      <c r="S38" s="207"/>
      <c r="T38" s="204"/>
      <c r="U38" s="205"/>
      <c r="V38" s="205"/>
      <c r="W38" s="208"/>
      <c r="X38" s="209"/>
      <c r="Y38" s="205"/>
      <c r="Z38" s="205"/>
      <c r="AA38" s="205"/>
      <c r="AB38" s="208"/>
      <c r="AC38" s="209"/>
      <c r="AD38" s="205"/>
      <c r="AE38" s="205"/>
      <c r="AF38" s="205"/>
      <c r="AG38" s="208"/>
      <c r="AH38" s="209"/>
      <c r="AI38" s="205"/>
      <c r="AJ38" s="205"/>
      <c r="AK38" s="205"/>
      <c r="AL38" s="208"/>
      <c r="AM38" s="209"/>
      <c r="AN38" s="205"/>
      <c r="AO38" s="205"/>
      <c r="AP38" s="210"/>
      <c r="AQ38" s="211"/>
    </row>
    <row r="39" spans="1:43" ht="48.75" customHeight="1">
      <c r="A39" s="212"/>
      <c r="B39" s="213"/>
      <c r="C39" s="217" t="s">
        <v>278</v>
      </c>
      <c r="D39" s="231" t="s">
        <v>170</v>
      </c>
      <c r="E39" s="227">
        <v>220</v>
      </c>
      <c r="F39" s="228">
        <v>0.1</v>
      </c>
      <c r="G39" s="228">
        <v>0</v>
      </c>
      <c r="H39" s="229">
        <f t="shared" si="7"/>
        <v>1</v>
      </c>
      <c r="I39" s="230">
        <v>10</v>
      </c>
      <c r="J39" s="335" t="s">
        <v>392</v>
      </c>
      <c r="K39" s="335" t="s">
        <v>425</v>
      </c>
      <c r="L39" s="352" t="s">
        <v>382</v>
      </c>
      <c r="M39" s="349" t="s">
        <v>198</v>
      </c>
      <c r="N39" s="203"/>
      <c r="O39" s="204"/>
      <c r="P39" s="205"/>
      <c r="Q39" s="205"/>
      <c r="R39" s="206"/>
      <c r="S39" s="207"/>
      <c r="T39" s="204"/>
      <c r="U39" s="205"/>
      <c r="V39" s="205"/>
      <c r="W39" s="208"/>
      <c r="X39" s="209"/>
      <c r="Y39" s="205"/>
      <c r="Z39" s="205"/>
      <c r="AA39" s="205"/>
      <c r="AB39" s="208"/>
      <c r="AC39" s="209"/>
      <c r="AD39" s="205"/>
      <c r="AE39" s="205"/>
      <c r="AF39" s="205"/>
      <c r="AG39" s="208"/>
      <c r="AH39" s="209"/>
      <c r="AI39" s="205"/>
      <c r="AJ39" s="205"/>
      <c r="AK39" s="205"/>
      <c r="AL39" s="208"/>
      <c r="AM39" s="209"/>
      <c r="AN39" s="205"/>
      <c r="AO39" s="205"/>
      <c r="AP39" s="210"/>
      <c r="AQ39" s="211"/>
    </row>
    <row r="40" spans="1:43" ht="57" customHeight="1">
      <c r="A40" s="212"/>
      <c r="B40" s="213"/>
      <c r="C40" s="217" t="s">
        <v>279</v>
      </c>
      <c r="D40" s="231" t="s">
        <v>170</v>
      </c>
      <c r="E40" s="227">
        <v>50</v>
      </c>
      <c r="F40" s="228">
        <v>0.04</v>
      </c>
      <c r="G40" s="228">
        <v>0</v>
      </c>
      <c r="H40" s="229">
        <f t="shared" si="7"/>
        <v>0.4</v>
      </c>
      <c r="I40" s="230">
        <v>10</v>
      </c>
      <c r="J40" s="335" t="s">
        <v>391</v>
      </c>
      <c r="K40" s="335" t="s">
        <v>425</v>
      </c>
      <c r="L40" s="352" t="s">
        <v>382</v>
      </c>
      <c r="M40" s="349" t="s">
        <v>198</v>
      </c>
      <c r="N40" s="203"/>
      <c r="O40" s="204"/>
      <c r="P40" s="205"/>
      <c r="Q40" s="205"/>
      <c r="R40" s="206"/>
      <c r="S40" s="207"/>
      <c r="T40" s="204"/>
      <c r="U40" s="205"/>
      <c r="V40" s="205"/>
      <c r="W40" s="208"/>
      <c r="X40" s="209"/>
      <c r="Y40" s="205"/>
      <c r="Z40" s="205"/>
      <c r="AA40" s="205"/>
      <c r="AB40" s="208"/>
      <c r="AC40" s="209"/>
      <c r="AD40" s="205"/>
      <c r="AE40" s="205"/>
      <c r="AF40" s="205"/>
      <c r="AG40" s="208"/>
      <c r="AH40" s="209"/>
      <c r="AI40" s="205"/>
      <c r="AJ40" s="205"/>
      <c r="AK40" s="205"/>
      <c r="AL40" s="208"/>
      <c r="AM40" s="209"/>
      <c r="AN40" s="205"/>
      <c r="AO40" s="205"/>
      <c r="AP40" s="210"/>
      <c r="AQ40" s="211"/>
    </row>
    <row r="41" spans="1:43" ht="53.25" customHeight="1">
      <c r="A41" s="201"/>
      <c r="B41" s="202"/>
      <c r="C41" s="217" t="s">
        <v>266</v>
      </c>
      <c r="D41" s="231" t="s">
        <v>170</v>
      </c>
      <c r="E41" s="227">
        <v>40</v>
      </c>
      <c r="F41" s="228">
        <v>0.02</v>
      </c>
      <c r="G41" s="228">
        <v>0</v>
      </c>
      <c r="H41" s="229">
        <f t="shared" si="7"/>
        <v>0.2</v>
      </c>
      <c r="I41" s="230">
        <v>10</v>
      </c>
      <c r="J41" s="335" t="s">
        <v>393</v>
      </c>
      <c r="K41" s="335" t="s">
        <v>425</v>
      </c>
      <c r="L41" s="352" t="s">
        <v>382</v>
      </c>
      <c r="M41" s="349" t="s">
        <v>198</v>
      </c>
      <c r="N41" s="203"/>
      <c r="O41" s="204"/>
      <c r="P41" s="205"/>
      <c r="Q41" s="205"/>
      <c r="R41" s="206"/>
      <c r="S41" s="207"/>
      <c r="T41" s="204"/>
      <c r="U41" s="205"/>
      <c r="V41" s="205"/>
      <c r="W41" s="208"/>
      <c r="X41" s="209"/>
      <c r="Y41" s="205"/>
      <c r="Z41" s="205"/>
      <c r="AA41" s="205"/>
      <c r="AB41" s="208"/>
      <c r="AC41" s="209"/>
      <c r="AD41" s="205"/>
      <c r="AE41" s="205"/>
      <c r="AF41" s="205"/>
      <c r="AG41" s="208"/>
      <c r="AH41" s="209"/>
      <c r="AI41" s="205"/>
      <c r="AJ41" s="205"/>
      <c r="AK41" s="205"/>
      <c r="AL41" s="208"/>
      <c r="AM41" s="209"/>
      <c r="AN41" s="205"/>
      <c r="AO41" s="205"/>
      <c r="AP41" s="210"/>
      <c r="AQ41" s="211"/>
    </row>
    <row r="42" spans="1:43" ht="18" customHeight="1">
      <c r="A42" s="201"/>
      <c r="B42" s="202"/>
      <c r="C42" s="217"/>
      <c r="D42" s="231"/>
      <c r="E42" s="227"/>
      <c r="F42" s="228"/>
      <c r="G42" s="228"/>
      <c r="H42" s="229"/>
      <c r="I42" s="230"/>
      <c r="J42" s="335"/>
      <c r="K42" s="335"/>
      <c r="L42" s="352"/>
      <c r="M42" s="349"/>
      <c r="N42" s="203"/>
      <c r="O42" s="204"/>
      <c r="P42" s="205"/>
      <c r="Q42" s="205"/>
      <c r="R42" s="206"/>
      <c r="S42" s="207"/>
      <c r="T42" s="204"/>
      <c r="U42" s="205"/>
      <c r="V42" s="205"/>
      <c r="W42" s="208"/>
      <c r="X42" s="209"/>
      <c r="Y42" s="205"/>
      <c r="Z42" s="205"/>
      <c r="AA42" s="205"/>
      <c r="AB42" s="208"/>
      <c r="AC42" s="209"/>
      <c r="AD42" s="205"/>
      <c r="AE42" s="205"/>
      <c r="AF42" s="205"/>
      <c r="AG42" s="208"/>
      <c r="AH42" s="209"/>
      <c r="AI42" s="205"/>
      <c r="AJ42" s="205"/>
      <c r="AK42" s="205"/>
      <c r="AL42" s="208"/>
      <c r="AM42" s="209"/>
      <c r="AN42" s="205"/>
      <c r="AO42" s="205"/>
      <c r="AP42" s="210"/>
      <c r="AQ42" s="211"/>
    </row>
    <row r="43" spans="1:43" ht="18" customHeight="1">
      <c r="A43" s="212">
        <v>4</v>
      </c>
      <c r="B43" s="213" t="s">
        <v>267</v>
      </c>
      <c r="C43" s="217" t="s">
        <v>226</v>
      </c>
      <c r="D43" s="231" t="s">
        <v>170</v>
      </c>
      <c r="E43" s="227">
        <v>5</v>
      </c>
      <c r="F43" s="228">
        <v>6.7674902432044203E-3</v>
      </c>
      <c r="G43" s="228">
        <v>0</v>
      </c>
      <c r="H43" s="229">
        <f t="shared" si="6"/>
        <v>6.7674902432044201E-2</v>
      </c>
      <c r="I43" s="230">
        <v>0</v>
      </c>
      <c r="J43" s="335" t="s">
        <v>370</v>
      </c>
      <c r="K43" s="335"/>
      <c r="L43" s="352" t="s">
        <v>418</v>
      </c>
      <c r="M43" s="349" t="s">
        <v>189</v>
      </c>
      <c r="N43" s="203"/>
      <c r="O43" s="204"/>
      <c r="P43" s="205"/>
      <c r="Q43" s="205"/>
      <c r="R43" s="206"/>
      <c r="S43" s="207">
        <f>+F43*$S$4/1000000</f>
        <v>0.16918725608011051</v>
      </c>
      <c r="T43" s="204"/>
      <c r="U43" s="205"/>
      <c r="V43" s="205"/>
      <c r="W43" s="208"/>
      <c r="X43" s="209">
        <f>+F43*$X$4/1000000</f>
        <v>0.18272223656651934</v>
      </c>
      <c r="Y43" s="205"/>
      <c r="Z43" s="205"/>
      <c r="AA43" s="205"/>
      <c r="AB43" s="208"/>
      <c r="AC43" s="209">
        <f>+F43*$AC$4/1000000</f>
        <v>0.20302470729613262</v>
      </c>
      <c r="AD43" s="205"/>
      <c r="AE43" s="205"/>
      <c r="AF43" s="205"/>
      <c r="AG43" s="208"/>
      <c r="AH43" s="209">
        <f>+F43*$AH$4/1000000</f>
        <v>0.33837451216022102</v>
      </c>
      <c r="AI43" s="205"/>
      <c r="AJ43" s="205"/>
      <c r="AK43" s="205"/>
      <c r="AL43" s="208"/>
      <c r="AM43" s="209">
        <f>+F43*$AM$4/1000000</f>
        <v>0.30453706094419891</v>
      </c>
      <c r="AN43" s="205"/>
      <c r="AO43" s="205"/>
      <c r="AP43" s="210"/>
      <c r="AQ43" s="211"/>
    </row>
    <row r="44" spans="1:43" ht="66" customHeight="1">
      <c r="A44" s="212"/>
      <c r="B44" s="213"/>
      <c r="C44" s="217" t="s">
        <v>224</v>
      </c>
      <c r="D44" s="231" t="s">
        <v>170</v>
      </c>
      <c r="E44" s="227">
        <v>20</v>
      </c>
      <c r="F44" s="228">
        <v>1.9047619047619049E-2</v>
      </c>
      <c r="G44" s="228">
        <v>0</v>
      </c>
      <c r="H44" s="229">
        <f>+F44*$H$4/1000000</f>
        <v>0.19047619047619049</v>
      </c>
      <c r="I44" s="230">
        <v>10</v>
      </c>
      <c r="J44" s="335" t="s">
        <v>394</v>
      </c>
      <c r="K44" s="335" t="s">
        <v>426</v>
      </c>
      <c r="L44" s="352" t="s">
        <v>364</v>
      </c>
      <c r="M44" s="349" t="s">
        <v>193</v>
      </c>
      <c r="N44" s="203"/>
      <c r="O44" s="204"/>
      <c r="P44" s="205"/>
      <c r="Q44" s="205"/>
      <c r="R44" s="206"/>
      <c r="S44" s="207"/>
      <c r="T44" s="204"/>
      <c r="U44" s="205"/>
      <c r="V44" s="205"/>
      <c r="W44" s="208"/>
      <c r="X44" s="209"/>
      <c r="Y44" s="205"/>
      <c r="Z44" s="205"/>
      <c r="AA44" s="205"/>
      <c r="AB44" s="208"/>
      <c r="AC44" s="209"/>
      <c r="AD44" s="205"/>
      <c r="AE44" s="205"/>
      <c r="AF44" s="205"/>
      <c r="AG44" s="208"/>
      <c r="AH44" s="209"/>
      <c r="AI44" s="205"/>
      <c r="AJ44" s="205"/>
      <c r="AK44" s="205"/>
      <c r="AL44" s="208"/>
      <c r="AM44" s="209"/>
      <c r="AN44" s="205"/>
      <c r="AO44" s="205"/>
      <c r="AP44" s="210"/>
      <c r="AQ44" s="211"/>
    </row>
    <row r="45" spans="1:43" ht="18" customHeight="1">
      <c r="A45" s="201"/>
      <c r="B45" s="202"/>
      <c r="C45" s="217" t="s">
        <v>227</v>
      </c>
      <c r="D45" s="231" t="s">
        <v>170</v>
      </c>
      <c r="E45" s="227">
        <v>36</v>
      </c>
      <c r="F45" s="228">
        <v>3.4285714285714287E-2</v>
      </c>
      <c r="G45" s="228">
        <v>0</v>
      </c>
      <c r="H45" s="229">
        <f t="shared" ref="H45:H52" si="8">+F45*$H$4/1000000</f>
        <v>0.34285714285714292</v>
      </c>
      <c r="I45" s="230">
        <v>0</v>
      </c>
      <c r="J45" s="335" t="s">
        <v>370</v>
      </c>
      <c r="K45" s="335"/>
      <c r="L45" s="352" t="s">
        <v>364</v>
      </c>
      <c r="M45" s="349" t="s">
        <v>189</v>
      </c>
      <c r="N45" s="203"/>
      <c r="O45" s="204"/>
      <c r="P45" s="205"/>
      <c r="Q45" s="205"/>
      <c r="R45" s="206"/>
      <c r="S45" s="207"/>
      <c r="T45" s="204"/>
      <c r="U45" s="205"/>
      <c r="V45" s="205"/>
      <c r="W45" s="208"/>
      <c r="X45" s="209"/>
      <c r="Y45" s="205"/>
      <c r="Z45" s="205"/>
      <c r="AA45" s="205"/>
      <c r="AB45" s="208"/>
      <c r="AC45" s="209"/>
      <c r="AD45" s="205"/>
      <c r="AE45" s="205"/>
      <c r="AF45" s="205"/>
      <c r="AG45" s="208"/>
      <c r="AH45" s="209"/>
      <c r="AI45" s="205"/>
      <c r="AJ45" s="205"/>
      <c r="AK45" s="205"/>
      <c r="AL45" s="208"/>
      <c r="AM45" s="209"/>
      <c r="AN45" s="205"/>
      <c r="AO45" s="205"/>
      <c r="AP45" s="210"/>
      <c r="AQ45" s="211"/>
    </row>
    <row r="46" spans="1:43" ht="18" customHeight="1">
      <c r="A46" s="212"/>
      <c r="B46" s="213"/>
      <c r="C46" s="217" t="s">
        <v>228</v>
      </c>
      <c r="D46" s="231" t="s">
        <v>170</v>
      </c>
      <c r="E46" s="227">
        <v>1.5</v>
      </c>
      <c r="F46" s="228">
        <v>1.4285714285714286E-3</v>
      </c>
      <c r="G46" s="228">
        <v>0</v>
      </c>
      <c r="H46" s="354">
        <f t="shared" si="8"/>
        <v>1.4285714285714287E-2</v>
      </c>
      <c r="I46" s="230">
        <v>0</v>
      </c>
      <c r="J46" s="335" t="s">
        <v>370</v>
      </c>
      <c r="K46" s="335"/>
      <c r="L46" s="352" t="s">
        <v>364</v>
      </c>
      <c r="M46" s="349" t="s">
        <v>189</v>
      </c>
      <c r="N46" s="203"/>
      <c r="O46" s="204"/>
      <c r="P46" s="205"/>
      <c r="Q46" s="205"/>
      <c r="R46" s="206"/>
      <c r="S46" s="207"/>
      <c r="T46" s="204"/>
      <c r="U46" s="205"/>
      <c r="V46" s="205"/>
      <c r="W46" s="208"/>
      <c r="X46" s="209"/>
      <c r="Y46" s="205"/>
      <c r="Z46" s="205"/>
      <c r="AA46" s="205"/>
      <c r="AB46" s="208"/>
      <c r="AC46" s="209"/>
      <c r="AD46" s="205"/>
      <c r="AE46" s="205"/>
      <c r="AF46" s="205"/>
      <c r="AG46" s="208"/>
      <c r="AH46" s="209"/>
      <c r="AI46" s="205"/>
      <c r="AJ46" s="205"/>
      <c r="AK46" s="205"/>
      <c r="AL46" s="208"/>
      <c r="AM46" s="209"/>
      <c r="AN46" s="205"/>
      <c r="AO46" s="205"/>
      <c r="AP46" s="210"/>
      <c r="AQ46" s="211"/>
    </row>
    <row r="47" spans="1:43" ht="77.25" customHeight="1">
      <c r="A47" s="212"/>
      <c r="B47" s="213"/>
      <c r="C47" s="217" t="s">
        <v>229</v>
      </c>
      <c r="D47" s="231" t="s">
        <v>170</v>
      </c>
      <c r="E47" s="227">
        <v>15</v>
      </c>
      <c r="F47" s="228">
        <v>1.4285714285714285E-2</v>
      </c>
      <c r="G47" s="228">
        <v>0</v>
      </c>
      <c r="H47" s="229">
        <f t="shared" si="8"/>
        <v>0.14285714285714285</v>
      </c>
      <c r="I47" s="230">
        <v>10</v>
      </c>
      <c r="J47" s="335" t="s">
        <v>395</v>
      </c>
      <c r="K47" s="335" t="s">
        <v>398</v>
      </c>
      <c r="L47" s="352" t="s">
        <v>364</v>
      </c>
      <c r="M47" s="349" t="s">
        <v>263</v>
      </c>
      <c r="N47" s="203"/>
      <c r="O47" s="204"/>
      <c r="P47" s="205"/>
      <c r="Q47" s="205"/>
      <c r="R47" s="206"/>
      <c r="S47" s="207"/>
      <c r="T47" s="204"/>
      <c r="U47" s="205"/>
      <c r="V47" s="205"/>
      <c r="W47" s="208"/>
      <c r="X47" s="209"/>
      <c r="Y47" s="205"/>
      <c r="Z47" s="205"/>
      <c r="AA47" s="205"/>
      <c r="AB47" s="208"/>
      <c r="AC47" s="209"/>
      <c r="AD47" s="205"/>
      <c r="AE47" s="205"/>
      <c r="AF47" s="205"/>
      <c r="AG47" s="208"/>
      <c r="AH47" s="209"/>
      <c r="AI47" s="205"/>
      <c r="AJ47" s="205"/>
      <c r="AK47" s="205"/>
      <c r="AL47" s="208"/>
      <c r="AM47" s="209"/>
      <c r="AN47" s="205"/>
      <c r="AO47" s="205"/>
      <c r="AP47" s="210"/>
      <c r="AQ47" s="211"/>
    </row>
    <row r="48" spans="1:43" ht="67.5" customHeight="1">
      <c r="A48" s="201"/>
      <c r="B48" s="202"/>
      <c r="C48" s="217" t="s">
        <v>230</v>
      </c>
      <c r="D48" s="231" t="s">
        <v>170</v>
      </c>
      <c r="E48" s="227">
        <v>14</v>
      </c>
      <c r="F48" s="228">
        <v>1.3333333333333334E-2</v>
      </c>
      <c r="G48" s="228">
        <v>0</v>
      </c>
      <c r="H48" s="229">
        <f t="shared" si="8"/>
        <v>0.13333333333333333</v>
      </c>
      <c r="I48" s="230">
        <v>12</v>
      </c>
      <c r="J48" s="335" t="s">
        <v>396</v>
      </c>
      <c r="K48" s="335" t="s">
        <v>399</v>
      </c>
      <c r="L48" s="352" t="s">
        <v>364</v>
      </c>
      <c r="M48" s="349" t="s">
        <v>264</v>
      </c>
      <c r="N48" s="203"/>
      <c r="O48" s="204"/>
      <c r="P48" s="205"/>
      <c r="Q48" s="205"/>
      <c r="R48" s="206"/>
      <c r="S48" s="207"/>
      <c r="T48" s="204"/>
      <c r="U48" s="205"/>
      <c r="V48" s="205"/>
      <c r="W48" s="208"/>
      <c r="X48" s="209"/>
      <c r="Y48" s="205"/>
      <c r="Z48" s="205"/>
      <c r="AA48" s="205"/>
      <c r="AB48" s="208"/>
      <c r="AC48" s="209"/>
      <c r="AD48" s="205"/>
      <c r="AE48" s="205"/>
      <c r="AF48" s="205"/>
      <c r="AG48" s="208"/>
      <c r="AH48" s="209"/>
      <c r="AI48" s="205"/>
      <c r="AJ48" s="205"/>
      <c r="AK48" s="205"/>
      <c r="AL48" s="208"/>
      <c r="AM48" s="209"/>
      <c r="AN48" s="205"/>
      <c r="AO48" s="205"/>
      <c r="AP48" s="210"/>
      <c r="AQ48" s="211"/>
    </row>
    <row r="49" spans="1:43" ht="33.75" customHeight="1">
      <c r="A49" s="212"/>
      <c r="B49" s="213"/>
      <c r="C49" s="217" t="s">
        <v>231</v>
      </c>
      <c r="D49" s="231" t="s">
        <v>170</v>
      </c>
      <c r="E49" s="227">
        <v>20</v>
      </c>
      <c r="F49" s="228">
        <v>1.9047619047619049E-2</v>
      </c>
      <c r="G49" s="228">
        <v>0</v>
      </c>
      <c r="H49" s="229">
        <f t="shared" si="8"/>
        <v>0.19047619047619049</v>
      </c>
      <c r="I49" s="230">
        <v>10</v>
      </c>
      <c r="J49" s="335" t="s">
        <v>397</v>
      </c>
      <c r="K49" s="335" t="s">
        <v>400</v>
      </c>
      <c r="L49" s="352" t="s">
        <v>364</v>
      </c>
      <c r="M49" s="349" t="s">
        <v>194</v>
      </c>
      <c r="N49" s="203"/>
      <c r="O49" s="204"/>
      <c r="P49" s="205"/>
      <c r="Q49" s="205"/>
      <c r="R49" s="206"/>
      <c r="S49" s="207"/>
      <c r="T49" s="204"/>
      <c r="U49" s="205"/>
      <c r="V49" s="205"/>
      <c r="W49" s="208"/>
      <c r="X49" s="209"/>
      <c r="Y49" s="205"/>
      <c r="Z49" s="205"/>
      <c r="AA49" s="205"/>
      <c r="AB49" s="208"/>
      <c r="AC49" s="209"/>
      <c r="AD49" s="205"/>
      <c r="AE49" s="205"/>
      <c r="AF49" s="205"/>
      <c r="AG49" s="208"/>
      <c r="AH49" s="209"/>
      <c r="AI49" s="205"/>
      <c r="AJ49" s="205"/>
      <c r="AK49" s="205"/>
      <c r="AL49" s="208"/>
      <c r="AM49" s="209"/>
      <c r="AN49" s="205"/>
      <c r="AO49" s="205"/>
      <c r="AP49" s="210"/>
      <c r="AQ49" s="211"/>
    </row>
    <row r="50" spans="1:43" ht="99.75" customHeight="1">
      <c r="A50" s="212"/>
      <c r="B50" s="213"/>
      <c r="C50" s="217" t="s">
        <v>232</v>
      </c>
      <c r="D50" s="231" t="s">
        <v>170</v>
      </c>
      <c r="E50" s="227">
        <v>3</v>
      </c>
      <c r="F50" s="228">
        <v>2.8571428571428571E-3</v>
      </c>
      <c r="G50" s="228">
        <v>0</v>
      </c>
      <c r="H50" s="354">
        <f t="shared" si="8"/>
        <v>2.8571428571428574E-2</v>
      </c>
      <c r="I50" s="230">
        <v>2</v>
      </c>
      <c r="J50" s="335" t="s">
        <v>401</v>
      </c>
      <c r="K50" s="335" t="s">
        <v>402</v>
      </c>
      <c r="L50" s="352" t="s">
        <v>364</v>
      </c>
      <c r="M50" s="349" t="s">
        <v>195</v>
      </c>
      <c r="N50" s="203"/>
      <c r="O50" s="204"/>
      <c r="P50" s="205"/>
      <c r="Q50" s="205"/>
      <c r="R50" s="206"/>
      <c r="S50" s="207"/>
      <c r="T50" s="204"/>
      <c r="U50" s="205"/>
      <c r="V50" s="205"/>
      <c r="W50" s="208"/>
      <c r="X50" s="209"/>
      <c r="Y50" s="205"/>
      <c r="Z50" s="205"/>
      <c r="AA50" s="205"/>
      <c r="AB50" s="208"/>
      <c r="AC50" s="209"/>
      <c r="AD50" s="205"/>
      <c r="AE50" s="205"/>
      <c r="AF50" s="205"/>
      <c r="AG50" s="208"/>
      <c r="AH50" s="209"/>
      <c r="AI50" s="205"/>
      <c r="AJ50" s="205"/>
      <c r="AK50" s="205"/>
      <c r="AL50" s="208"/>
      <c r="AM50" s="209"/>
      <c r="AN50" s="205"/>
      <c r="AO50" s="205"/>
      <c r="AP50" s="210"/>
      <c r="AQ50" s="211"/>
    </row>
    <row r="51" spans="1:43" ht="87" customHeight="1">
      <c r="A51" s="201"/>
      <c r="B51" s="202"/>
      <c r="C51" s="217" t="s">
        <v>233</v>
      </c>
      <c r="D51" s="231" t="s">
        <v>170</v>
      </c>
      <c r="E51" s="227">
        <v>3</v>
      </c>
      <c r="F51" s="228">
        <v>2.8571428571428571E-3</v>
      </c>
      <c r="G51" s="228">
        <v>0</v>
      </c>
      <c r="H51" s="354">
        <f t="shared" si="8"/>
        <v>2.8571428571428574E-2</v>
      </c>
      <c r="I51" s="230">
        <v>2</v>
      </c>
      <c r="J51" s="335" t="s">
        <v>403</v>
      </c>
      <c r="K51" s="335" t="s">
        <v>427</v>
      </c>
      <c r="L51" s="352" t="s">
        <v>364</v>
      </c>
      <c r="M51" s="349" t="s">
        <v>195</v>
      </c>
      <c r="N51" s="203"/>
      <c r="O51" s="204"/>
      <c r="P51" s="205"/>
      <c r="Q51" s="205"/>
      <c r="R51" s="206"/>
      <c r="S51" s="207"/>
      <c r="T51" s="204"/>
      <c r="U51" s="205"/>
      <c r="V51" s="205"/>
      <c r="W51" s="208"/>
      <c r="X51" s="209"/>
      <c r="Y51" s="205"/>
      <c r="Z51" s="205"/>
      <c r="AA51" s="205"/>
      <c r="AB51" s="208"/>
      <c r="AC51" s="209"/>
      <c r="AD51" s="205"/>
      <c r="AE51" s="205"/>
      <c r="AF51" s="205"/>
      <c r="AG51" s="208"/>
      <c r="AH51" s="209"/>
      <c r="AI51" s="205"/>
      <c r="AJ51" s="205"/>
      <c r="AK51" s="205"/>
      <c r="AL51" s="208"/>
      <c r="AM51" s="209"/>
      <c r="AN51" s="205"/>
      <c r="AO51" s="205"/>
      <c r="AP51" s="210"/>
      <c r="AQ51" s="211"/>
    </row>
    <row r="52" spans="1:43" ht="63" customHeight="1">
      <c r="A52" s="212"/>
      <c r="B52" s="213"/>
      <c r="C52" s="217" t="s">
        <v>234</v>
      </c>
      <c r="D52" s="231" t="s">
        <v>170</v>
      </c>
      <c r="E52" s="227">
        <v>3</v>
      </c>
      <c r="F52" s="228">
        <v>2.8571428571428571E-3</v>
      </c>
      <c r="G52" s="228">
        <v>0</v>
      </c>
      <c r="H52" s="354">
        <f t="shared" si="8"/>
        <v>2.8571428571428574E-2</v>
      </c>
      <c r="I52" s="230">
        <v>2</v>
      </c>
      <c r="J52" s="335" t="s">
        <v>404</v>
      </c>
      <c r="K52" s="335" t="s">
        <v>405</v>
      </c>
      <c r="L52" s="352" t="s">
        <v>364</v>
      </c>
      <c r="M52" s="349" t="s">
        <v>195</v>
      </c>
      <c r="N52" s="203"/>
      <c r="O52" s="204"/>
      <c r="P52" s="205"/>
      <c r="Q52" s="205"/>
      <c r="R52" s="206"/>
      <c r="S52" s="207"/>
      <c r="T52" s="204"/>
      <c r="U52" s="205"/>
      <c r="V52" s="205"/>
      <c r="W52" s="208"/>
      <c r="X52" s="209"/>
      <c r="Y52" s="205"/>
      <c r="Z52" s="205"/>
      <c r="AA52" s="205"/>
      <c r="AB52" s="208"/>
      <c r="AC52" s="209"/>
      <c r="AD52" s="205"/>
      <c r="AE52" s="205"/>
      <c r="AF52" s="205"/>
      <c r="AG52" s="208"/>
      <c r="AH52" s="209"/>
      <c r="AI52" s="205"/>
      <c r="AJ52" s="205"/>
      <c r="AK52" s="205"/>
      <c r="AL52" s="208"/>
      <c r="AM52" s="209"/>
      <c r="AN52" s="205"/>
      <c r="AO52" s="205"/>
      <c r="AP52" s="210"/>
      <c r="AQ52" s="211"/>
    </row>
    <row r="53" spans="1:43" ht="35.25" customHeight="1">
      <c r="A53" s="212"/>
      <c r="B53" s="213"/>
      <c r="C53" s="217" t="s">
        <v>235</v>
      </c>
      <c r="D53" s="231" t="s">
        <v>176</v>
      </c>
      <c r="E53" s="227">
        <v>50</v>
      </c>
      <c r="F53" s="228">
        <v>4.7619047619047616E-2</v>
      </c>
      <c r="G53" s="228">
        <v>0</v>
      </c>
      <c r="H53" s="229">
        <v>1</v>
      </c>
      <c r="I53" s="230">
        <v>5</v>
      </c>
      <c r="J53" s="335" t="s">
        <v>428</v>
      </c>
      <c r="K53" s="335" t="s">
        <v>430</v>
      </c>
      <c r="L53" s="352" t="s">
        <v>429</v>
      </c>
      <c r="M53" s="349" t="s">
        <v>194</v>
      </c>
      <c r="N53" s="203"/>
      <c r="O53" s="204"/>
      <c r="P53" s="205"/>
      <c r="Q53" s="205"/>
      <c r="R53" s="206"/>
      <c r="S53" s="207"/>
      <c r="T53" s="204"/>
      <c r="U53" s="205"/>
      <c r="V53" s="205"/>
      <c r="W53" s="208"/>
      <c r="X53" s="209"/>
      <c r="Y53" s="205"/>
      <c r="Z53" s="205"/>
      <c r="AA53" s="205"/>
      <c r="AB53" s="208"/>
      <c r="AC53" s="209"/>
      <c r="AD53" s="205"/>
      <c r="AE53" s="205"/>
      <c r="AF53" s="205"/>
      <c r="AG53" s="208"/>
      <c r="AH53" s="209"/>
      <c r="AI53" s="205"/>
      <c r="AJ53" s="205"/>
      <c r="AK53" s="205"/>
      <c r="AL53" s="208"/>
      <c r="AM53" s="209"/>
      <c r="AN53" s="205"/>
      <c r="AO53" s="205"/>
      <c r="AP53" s="210"/>
      <c r="AQ53" s="211"/>
    </row>
    <row r="54" spans="1:43" ht="81" customHeight="1">
      <c r="A54" s="212"/>
      <c r="B54" s="213"/>
      <c r="C54" s="217" t="s">
        <v>435</v>
      </c>
      <c r="D54" s="231" t="s">
        <v>170</v>
      </c>
      <c r="E54" s="227"/>
      <c r="F54" s="228"/>
      <c r="G54" s="228"/>
      <c r="H54" s="229">
        <v>0.5</v>
      </c>
      <c r="I54" s="230">
        <v>20</v>
      </c>
      <c r="J54" s="335" t="s">
        <v>406</v>
      </c>
      <c r="K54" s="335" t="s">
        <v>407</v>
      </c>
      <c r="L54" s="352" t="s">
        <v>364</v>
      </c>
      <c r="M54" s="349" t="s">
        <v>197</v>
      </c>
      <c r="N54" s="203"/>
      <c r="O54" s="204"/>
      <c r="P54" s="205"/>
      <c r="Q54" s="205"/>
      <c r="R54" s="206"/>
      <c r="S54" s="207"/>
      <c r="T54" s="204"/>
      <c r="U54" s="205"/>
      <c r="V54" s="205"/>
      <c r="W54" s="208"/>
      <c r="X54" s="209"/>
      <c r="Y54" s="205"/>
      <c r="Z54" s="205"/>
      <c r="AA54" s="205"/>
      <c r="AB54" s="208"/>
      <c r="AC54" s="209"/>
      <c r="AD54" s="205"/>
      <c r="AE54" s="205"/>
      <c r="AF54" s="205"/>
      <c r="AG54" s="208"/>
      <c r="AH54" s="209"/>
      <c r="AI54" s="205"/>
      <c r="AJ54" s="205"/>
      <c r="AK54" s="205"/>
      <c r="AL54" s="208"/>
      <c r="AM54" s="209"/>
      <c r="AN54" s="205"/>
      <c r="AO54" s="205"/>
      <c r="AP54" s="210"/>
      <c r="AQ54" s="211"/>
    </row>
    <row r="55" spans="1:43">
      <c r="A55" s="212"/>
      <c r="B55" s="213"/>
      <c r="C55" s="217" t="s">
        <v>453</v>
      </c>
      <c r="D55" s="231" t="s">
        <v>202</v>
      </c>
      <c r="E55" s="227"/>
      <c r="F55" s="228"/>
      <c r="G55" s="228"/>
      <c r="H55" s="229">
        <v>8</v>
      </c>
      <c r="I55" s="230">
        <v>5</v>
      </c>
      <c r="J55" s="335"/>
      <c r="K55" s="335" t="s">
        <v>436</v>
      </c>
      <c r="L55" s="352" t="s">
        <v>364</v>
      </c>
      <c r="M55" s="349" t="s">
        <v>197</v>
      </c>
      <c r="N55" s="203"/>
      <c r="O55" s="204"/>
      <c r="P55" s="205"/>
      <c r="Q55" s="205"/>
      <c r="R55" s="206"/>
      <c r="S55" s="207"/>
      <c r="T55" s="204"/>
      <c r="U55" s="205"/>
      <c r="V55" s="205"/>
      <c r="W55" s="208"/>
      <c r="X55" s="209"/>
      <c r="Y55" s="205"/>
      <c r="Z55" s="205"/>
      <c r="AA55" s="205"/>
      <c r="AB55" s="208"/>
      <c r="AC55" s="209"/>
      <c r="AD55" s="205"/>
      <c r="AE55" s="205"/>
      <c r="AF55" s="205"/>
      <c r="AG55" s="208"/>
      <c r="AH55" s="209"/>
      <c r="AI55" s="205"/>
      <c r="AJ55" s="205"/>
      <c r="AK55" s="205"/>
      <c r="AL55" s="208"/>
      <c r="AM55" s="209"/>
      <c r="AN55" s="205"/>
      <c r="AO55" s="205"/>
      <c r="AP55" s="210"/>
      <c r="AQ55" s="211"/>
    </row>
    <row r="56" spans="1:43" ht="132" customHeight="1">
      <c r="A56" s="201"/>
      <c r="B56" s="202"/>
      <c r="C56" s="217" t="s">
        <v>432</v>
      </c>
      <c r="D56" s="231" t="s">
        <v>454</v>
      </c>
      <c r="E56" s="227">
        <v>350</v>
      </c>
      <c r="F56" s="228">
        <v>0.33333333333333331</v>
      </c>
      <c r="G56" s="228">
        <v>0</v>
      </c>
      <c r="H56" s="229">
        <v>0.5</v>
      </c>
      <c r="I56" s="230">
        <v>15</v>
      </c>
      <c r="J56" s="335" t="s">
        <v>409</v>
      </c>
      <c r="K56" s="335" t="s">
        <v>431</v>
      </c>
      <c r="L56" s="352" t="s">
        <v>418</v>
      </c>
      <c r="M56" s="349" t="s">
        <v>196</v>
      </c>
      <c r="N56" s="203"/>
      <c r="O56" s="204"/>
      <c r="P56" s="205"/>
      <c r="Q56" s="205"/>
      <c r="R56" s="206"/>
      <c r="S56" s="207"/>
      <c r="T56" s="204"/>
      <c r="U56" s="205"/>
      <c r="V56" s="205"/>
      <c r="W56" s="208"/>
      <c r="X56" s="209"/>
      <c r="Y56" s="205"/>
      <c r="Z56" s="205"/>
      <c r="AA56" s="205"/>
      <c r="AB56" s="208"/>
      <c r="AC56" s="209"/>
      <c r="AD56" s="205"/>
      <c r="AE56" s="205"/>
      <c r="AF56" s="205"/>
      <c r="AG56" s="208"/>
      <c r="AH56" s="209"/>
      <c r="AI56" s="205"/>
      <c r="AJ56" s="205"/>
      <c r="AK56" s="205"/>
      <c r="AL56" s="208"/>
      <c r="AM56" s="209"/>
      <c r="AN56" s="205"/>
      <c r="AO56" s="205"/>
      <c r="AP56" s="210"/>
      <c r="AQ56" s="211"/>
    </row>
    <row r="57" spans="1:43">
      <c r="A57" s="201"/>
      <c r="B57" s="202"/>
      <c r="C57" s="217" t="s">
        <v>433</v>
      </c>
      <c r="D57" s="231" t="s">
        <v>202</v>
      </c>
      <c r="E57" s="227">
        <v>350</v>
      </c>
      <c r="F57" s="228">
        <v>0.33333333333333331</v>
      </c>
      <c r="G57" s="228">
        <v>0</v>
      </c>
      <c r="H57" s="229">
        <v>10</v>
      </c>
      <c r="I57" s="230">
        <v>10</v>
      </c>
      <c r="J57" s="335"/>
      <c r="K57" s="335" t="s">
        <v>434</v>
      </c>
      <c r="L57" s="352" t="s">
        <v>418</v>
      </c>
      <c r="M57" s="349" t="s">
        <v>196</v>
      </c>
      <c r="N57" s="203"/>
      <c r="O57" s="204"/>
      <c r="P57" s="205"/>
      <c r="Q57" s="205"/>
      <c r="R57" s="206"/>
      <c r="S57" s="207"/>
      <c r="T57" s="204"/>
      <c r="U57" s="205"/>
      <c r="V57" s="205"/>
      <c r="W57" s="208"/>
      <c r="X57" s="209"/>
      <c r="Y57" s="205"/>
      <c r="Z57" s="205"/>
      <c r="AA57" s="205"/>
      <c r="AB57" s="208"/>
      <c r="AC57" s="209"/>
      <c r="AD57" s="205"/>
      <c r="AE57" s="205"/>
      <c r="AF57" s="205"/>
      <c r="AG57" s="208"/>
      <c r="AH57" s="209"/>
      <c r="AI57" s="205"/>
      <c r="AJ57" s="205"/>
      <c r="AK57" s="205"/>
      <c r="AL57" s="208"/>
      <c r="AM57" s="209"/>
      <c r="AN57" s="205"/>
      <c r="AO57" s="205"/>
      <c r="AP57" s="210"/>
      <c r="AQ57" s="211"/>
    </row>
    <row r="58" spans="1:43" ht="48" customHeight="1">
      <c r="A58" s="201"/>
      <c r="B58" s="202"/>
      <c r="C58" s="217" t="s">
        <v>265</v>
      </c>
      <c r="D58" s="231" t="s">
        <v>202</v>
      </c>
      <c r="E58" s="227"/>
      <c r="F58" s="228"/>
      <c r="G58" s="228"/>
      <c r="H58" s="229">
        <v>5</v>
      </c>
      <c r="I58" s="230">
        <v>5</v>
      </c>
      <c r="J58" s="335" t="s">
        <v>410</v>
      </c>
      <c r="K58" s="335" t="s">
        <v>411</v>
      </c>
      <c r="L58" s="352" t="s">
        <v>408</v>
      </c>
      <c r="M58" s="349" t="s">
        <v>383</v>
      </c>
      <c r="N58" s="203"/>
      <c r="O58" s="204"/>
      <c r="P58" s="205"/>
      <c r="Q58" s="205"/>
      <c r="R58" s="206"/>
      <c r="S58" s="207"/>
      <c r="T58" s="204"/>
      <c r="U58" s="205"/>
      <c r="V58" s="205"/>
      <c r="W58" s="208"/>
      <c r="X58" s="209"/>
      <c r="Y58" s="205"/>
      <c r="Z58" s="205"/>
      <c r="AA58" s="205"/>
      <c r="AB58" s="208"/>
      <c r="AC58" s="209"/>
      <c r="AD58" s="205"/>
      <c r="AE58" s="205"/>
      <c r="AF58" s="205"/>
      <c r="AG58" s="208"/>
      <c r="AH58" s="209"/>
      <c r="AI58" s="205"/>
      <c r="AJ58" s="205"/>
      <c r="AK58" s="205"/>
      <c r="AL58" s="208"/>
      <c r="AM58" s="209"/>
      <c r="AN58" s="205"/>
      <c r="AO58" s="205"/>
      <c r="AP58" s="210"/>
      <c r="AQ58" s="211"/>
    </row>
    <row r="59" spans="1:43" ht="111" customHeight="1">
      <c r="A59" s="212"/>
      <c r="B59" s="213"/>
      <c r="C59" s="217" t="s">
        <v>273</v>
      </c>
      <c r="D59" s="231" t="s">
        <v>170</v>
      </c>
      <c r="E59" s="227"/>
      <c r="F59" s="228"/>
      <c r="G59" s="228"/>
      <c r="H59" s="229">
        <v>1.2</v>
      </c>
      <c r="I59" s="230">
        <v>0</v>
      </c>
      <c r="J59" s="335" t="s">
        <v>413</v>
      </c>
      <c r="K59" s="335" t="s">
        <v>412</v>
      </c>
      <c r="L59" s="352" t="s">
        <v>382</v>
      </c>
      <c r="M59" s="349" t="s">
        <v>198</v>
      </c>
      <c r="N59" s="203"/>
      <c r="O59" s="204"/>
      <c r="P59" s="205"/>
      <c r="Q59" s="205"/>
      <c r="R59" s="206"/>
      <c r="S59" s="207"/>
      <c r="T59" s="204"/>
      <c r="U59" s="205"/>
      <c r="V59" s="205"/>
      <c r="W59" s="208"/>
      <c r="X59" s="209"/>
      <c r="Y59" s="205"/>
      <c r="Z59" s="205"/>
      <c r="AA59" s="205"/>
      <c r="AB59" s="208"/>
      <c r="AC59" s="209"/>
      <c r="AD59" s="205"/>
      <c r="AE59" s="205"/>
      <c r="AF59" s="205"/>
      <c r="AG59" s="208"/>
      <c r="AH59" s="209"/>
      <c r="AI59" s="205"/>
      <c r="AJ59" s="205"/>
      <c r="AK59" s="205"/>
      <c r="AL59" s="208"/>
      <c r="AM59" s="209"/>
      <c r="AN59" s="205"/>
      <c r="AO59" s="205"/>
      <c r="AP59" s="210"/>
      <c r="AQ59" s="211"/>
    </row>
    <row r="60" spans="1:43" ht="33" customHeight="1">
      <c r="A60" s="201"/>
      <c r="B60" s="202"/>
      <c r="C60" s="217" t="s">
        <v>274</v>
      </c>
      <c r="D60" s="231" t="s">
        <v>202</v>
      </c>
      <c r="E60" s="227"/>
      <c r="F60" s="228"/>
      <c r="G60" s="228"/>
      <c r="H60" s="229">
        <v>4</v>
      </c>
      <c r="I60" s="230">
        <v>5</v>
      </c>
      <c r="J60" s="335"/>
      <c r="K60" s="335" t="s">
        <v>437</v>
      </c>
      <c r="L60" s="352" t="s">
        <v>382</v>
      </c>
      <c r="M60" s="349" t="s">
        <v>198</v>
      </c>
      <c r="N60" s="203"/>
      <c r="O60" s="204"/>
      <c r="P60" s="205"/>
      <c r="Q60" s="205"/>
      <c r="R60" s="206"/>
      <c r="S60" s="207"/>
      <c r="T60" s="204"/>
      <c r="U60" s="205"/>
      <c r="V60" s="205"/>
      <c r="W60" s="208"/>
      <c r="X60" s="209"/>
      <c r="Y60" s="205"/>
      <c r="Z60" s="205"/>
      <c r="AA60" s="205"/>
      <c r="AB60" s="208"/>
      <c r="AC60" s="209"/>
      <c r="AD60" s="205"/>
      <c r="AE60" s="205"/>
      <c r="AF60" s="205"/>
      <c r="AG60" s="208"/>
      <c r="AH60" s="209"/>
      <c r="AI60" s="205"/>
      <c r="AJ60" s="205"/>
      <c r="AK60" s="205"/>
      <c r="AL60" s="208"/>
      <c r="AM60" s="209"/>
      <c r="AN60" s="205"/>
      <c r="AO60" s="205"/>
      <c r="AP60" s="210"/>
      <c r="AQ60" s="211"/>
    </row>
    <row r="61" spans="1:43" ht="138.75" customHeight="1">
      <c r="A61" s="201"/>
      <c r="B61" s="202"/>
      <c r="C61" s="217" t="s">
        <v>275</v>
      </c>
      <c r="D61" s="231" t="s">
        <v>170</v>
      </c>
      <c r="E61" s="227"/>
      <c r="F61" s="228"/>
      <c r="G61" s="228"/>
      <c r="H61" s="229">
        <v>0.5</v>
      </c>
      <c r="I61" s="230">
        <v>15</v>
      </c>
      <c r="J61" s="335" t="s">
        <v>414</v>
      </c>
      <c r="K61" s="335" t="s">
        <v>438</v>
      </c>
      <c r="L61" s="352" t="s">
        <v>382</v>
      </c>
      <c r="M61" s="349" t="s">
        <v>198</v>
      </c>
      <c r="N61" s="203"/>
      <c r="O61" s="204"/>
      <c r="P61" s="205"/>
      <c r="Q61" s="205"/>
      <c r="R61" s="206"/>
      <c r="S61" s="207"/>
      <c r="T61" s="204"/>
      <c r="U61" s="205"/>
      <c r="V61" s="205"/>
      <c r="W61" s="208"/>
      <c r="X61" s="209"/>
      <c r="Y61" s="205"/>
      <c r="Z61" s="205"/>
      <c r="AA61" s="205"/>
      <c r="AB61" s="208"/>
      <c r="AC61" s="209"/>
      <c r="AD61" s="205"/>
      <c r="AE61" s="205"/>
      <c r="AF61" s="205"/>
      <c r="AG61" s="208"/>
      <c r="AH61" s="209"/>
      <c r="AI61" s="205"/>
      <c r="AJ61" s="205"/>
      <c r="AK61" s="205"/>
      <c r="AL61" s="208"/>
      <c r="AM61" s="209"/>
      <c r="AN61" s="205"/>
      <c r="AO61" s="205"/>
      <c r="AP61" s="210"/>
      <c r="AQ61" s="211"/>
    </row>
    <row r="62" spans="1:43" ht="158.25" customHeight="1">
      <c r="A62" s="201"/>
      <c r="B62" s="202"/>
      <c r="C62" s="217" t="s">
        <v>276</v>
      </c>
      <c r="D62" s="231" t="s">
        <v>170</v>
      </c>
      <c r="E62" s="227"/>
      <c r="F62" s="228"/>
      <c r="G62" s="228"/>
      <c r="H62" s="229">
        <v>1.1000000000000001</v>
      </c>
      <c r="I62" s="230">
        <v>15</v>
      </c>
      <c r="J62" s="335" t="s">
        <v>415</v>
      </c>
      <c r="K62" s="335" t="s">
        <v>439</v>
      </c>
      <c r="L62" s="352" t="s">
        <v>382</v>
      </c>
      <c r="M62" s="349" t="s">
        <v>198</v>
      </c>
      <c r="N62" s="203"/>
      <c r="O62" s="204"/>
      <c r="P62" s="205"/>
      <c r="Q62" s="205"/>
      <c r="R62" s="206"/>
      <c r="S62" s="207"/>
      <c r="T62" s="204"/>
      <c r="U62" s="205"/>
      <c r="V62" s="205"/>
      <c r="W62" s="208"/>
      <c r="X62" s="209"/>
      <c r="Y62" s="205"/>
      <c r="Z62" s="205"/>
      <c r="AA62" s="205"/>
      <c r="AB62" s="208"/>
      <c r="AC62" s="209"/>
      <c r="AD62" s="205"/>
      <c r="AE62" s="205"/>
      <c r="AF62" s="205"/>
      <c r="AG62" s="208"/>
      <c r="AH62" s="209"/>
      <c r="AI62" s="205"/>
      <c r="AJ62" s="205"/>
      <c r="AK62" s="205"/>
      <c r="AL62" s="208"/>
      <c r="AM62" s="209"/>
      <c r="AN62" s="205"/>
      <c r="AO62" s="205"/>
      <c r="AP62" s="210"/>
      <c r="AQ62" s="211"/>
    </row>
    <row r="63" spans="1:43" ht="78" customHeight="1" thickBot="1">
      <c r="A63" s="201"/>
      <c r="B63" s="202"/>
      <c r="C63" s="217" t="s">
        <v>277</v>
      </c>
      <c r="D63" s="231" t="s">
        <v>170</v>
      </c>
      <c r="E63" s="227"/>
      <c r="F63" s="228"/>
      <c r="G63" s="228"/>
      <c r="H63" s="229">
        <v>0.1</v>
      </c>
      <c r="I63" s="230">
        <v>10</v>
      </c>
      <c r="J63" s="335" t="s">
        <v>416</v>
      </c>
      <c r="K63" s="335" t="s">
        <v>417</v>
      </c>
      <c r="L63" s="352" t="s">
        <v>382</v>
      </c>
      <c r="M63" s="349" t="s">
        <v>198</v>
      </c>
      <c r="N63" s="203"/>
      <c r="O63" s="204"/>
      <c r="P63" s="205"/>
      <c r="Q63" s="205"/>
      <c r="R63" s="206"/>
      <c r="S63" s="207"/>
      <c r="T63" s="204"/>
      <c r="U63" s="205"/>
      <c r="V63" s="205"/>
      <c r="W63" s="208"/>
      <c r="X63" s="209"/>
      <c r="Y63" s="205"/>
      <c r="Z63" s="205"/>
      <c r="AA63" s="205"/>
      <c r="AB63" s="208"/>
      <c r="AC63" s="209"/>
      <c r="AD63" s="205"/>
      <c r="AE63" s="205"/>
      <c r="AF63" s="205"/>
      <c r="AG63" s="208"/>
      <c r="AH63" s="209"/>
      <c r="AI63" s="205"/>
      <c r="AJ63" s="205"/>
      <c r="AK63" s="205"/>
      <c r="AL63" s="208"/>
      <c r="AM63" s="209"/>
      <c r="AN63" s="205"/>
      <c r="AO63" s="205"/>
      <c r="AP63" s="210"/>
      <c r="AQ63" s="211"/>
    </row>
    <row r="64" spans="1:43" ht="18" customHeight="1" thickBot="1">
      <c r="A64" s="214"/>
      <c r="B64" s="215"/>
      <c r="C64" s="218" t="s">
        <v>31</v>
      </c>
      <c r="D64" s="232"/>
      <c r="E64" s="233"/>
      <c r="F64" s="234"/>
      <c r="G64" s="234"/>
      <c r="H64" s="235"/>
      <c r="I64" s="236">
        <f>SUM(I16:I63)</f>
        <v>262</v>
      </c>
      <c r="J64" s="236"/>
      <c r="K64" s="236"/>
      <c r="L64" s="236"/>
      <c r="M64" s="237"/>
      <c r="N64" s="203"/>
      <c r="O64" s="204"/>
      <c r="P64" s="205"/>
      <c r="Q64" s="205"/>
      <c r="R64" s="206"/>
      <c r="S64" s="207"/>
      <c r="T64" s="204"/>
      <c r="U64" s="205"/>
      <c r="V64" s="205"/>
      <c r="W64" s="208"/>
      <c r="X64" s="209"/>
      <c r="Y64" s="205"/>
      <c r="Z64" s="205"/>
      <c r="AA64" s="205"/>
      <c r="AB64" s="208"/>
      <c r="AC64" s="209"/>
      <c r="AD64" s="205"/>
      <c r="AE64" s="205"/>
      <c r="AF64" s="205"/>
      <c r="AG64" s="208"/>
      <c r="AH64" s="209"/>
      <c r="AI64" s="205"/>
      <c r="AJ64" s="205"/>
      <c r="AK64" s="205"/>
      <c r="AL64" s="208"/>
      <c r="AM64" s="209"/>
      <c r="AN64" s="205"/>
      <c r="AO64" s="205"/>
      <c r="AP64" s="210"/>
      <c r="AQ64" s="211"/>
    </row>
    <row r="65" ht="18" customHeight="1"/>
    <row r="66" ht="18" customHeight="1"/>
  </sheetData>
  <mergeCells count="29">
    <mergeCell ref="AI3:AL3"/>
    <mergeCell ref="AN3:AQ3"/>
    <mergeCell ref="H4:I4"/>
    <mergeCell ref="N4:R4"/>
    <mergeCell ref="S4:W4"/>
    <mergeCell ref="X4:AB4"/>
    <mergeCell ref="AC4:AG4"/>
    <mergeCell ref="AH4:AL4"/>
    <mergeCell ref="AM4:AQ4"/>
    <mergeCell ref="H3:I3"/>
    <mergeCell ref="C1:AQ1"/>
    <mergeCell ref="O2:P2"/>
    <mergeCell ref="Q2:R2"/>
    <mergeCell ref="S2:T2"/>
    <mergeCell ref="V2:W2"/>
    <mergeCell ref="X2:Y2"/>
    <mergeCell ref="Z2:AA2"/>
    <mergeCell ref="AB2:AC2"/>
    <mergeCell ref="AN2:AP2"/>
    <mergeCell ref="T3:W3"/>
    <mergeCell ref="Y3:AB3"/>
    <mergeCell ref="AD3:AG3"/>
    <mergeCell ref="A3:A5"/>
    <mergeCell ref="B3:B5"/>
    <mergeCell ref="M3:M5"/>
    <mergeCell ref="D3:D5"/>
    <mergeCell ref="C3:C5"/>
    <mergeCell ref="O3:R3"/>
    <mergeCell ref="J5:K5"/>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Times City</vt:lpstr>
      <vt:lpstr>Savico</vt:lpstr>
      <vt:lpstr>Pico</vt:lpstr>
      <vt:lpstr>Routine task</vt:lpstr>
      <vt:lpstr>Daily task</vt:lpstr>
      <vt:lpstr>Base Line COL</vt:lpstr>
      <vt:lpstr>Prep Plan</vt:lpstr>
      <vt:lpstr>Pico!Print_Area</vt:lpstr>
      <vt:lpstr>Savico!Print_Area</vt:lpstr>
      <vt:lpstr>'Times City'!Print_Area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2021-05-23T15:31:55Z</dcterms:modified>
</cp:coreProperties>
</file>